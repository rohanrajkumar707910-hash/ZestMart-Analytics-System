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OHAN KUMAR\Downloads\"/>
    </mc:Choice>
  </mc:AlternateContent>
  <xr:revisionPtr revIDLastSave="0" documentId="13_ncr:1_{322699FC-845D-4EFC-A573-EF83A033CC00}" xr6:coauthVersionLast="47" xr6:coauthVersionMax="47" xr10:uidLastSave="{00000000-0000-0000-0000-000000000000}"/>
  <bookViews>
    <workbookView xWindow="-108" yWindow="-108" windowWidth="23256" windowHeight="12456" firstSheet="4" activeTab="7" xr2:uid="{00000000-000D-0000-FFFF-FFFF00000000}"/>
  </bookViews>
  <sheets>
    <sheet name="Products" sheetId="1" r:id="rId1"/>
    <sheet name="Stores" sheetId="2" r:id="rId2"/>
    <sheet name="Customers" sheetId="3" r:id="rId3"/>
    <sheet name="Employees" sheetId="4" r:id="rId4"/>
    <sheet name="Sales_Raw" sheetId="5" r:id="rId5"/>
    <sheet name="Sales_Enriched" sheetId="6" r:id="rId6"/>
    <sheet name="Monthly_Targets " sheetId="7" r:id="rId7"/>
    <sheet name="KPI_Summary" sheetId="9" r:id="rId8"/>
    <sheet name="Pivot_Analysis" sheetId="10" r:id="rId9"/>
    <sheet name="Data_Entry" sheetId="11" r:id="rId10"/>
  </sheets>
  <calcPr calcId="191029"/>
  <pivotCaches>
    <pivotCache cacheId="8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9" l="1"/>
  <c r="D5" i="9"/>
  <c r="D6" i="9"/>
  <c r="C3" i="9"/>
  <c r="E4" i="9"/>
  <c r="D2" i="9"/>
  <c r="C2" i="9"/>
  <c r="B3" i="9"/>
  <c r="B4" i="9"/>
  <c r="R4" i="6"/>
  <c r="R11" i="6"/>
  <c r="R12" i="6"/>
  <c r="R16" i="6"/>
  <c r="R23" i="6"/>
  <c r="R24" i="6"/>
  <c r="R28" i="6"/>
  <c r="R35" i="6"/>
  <c r="R36" i="6"/>
  <c r="R40" i="6"/>
  <c r="R47" i="6"/>
  <c r="R48" i="6"/>
  <c r="R52" i="6"/>
  <c r="R59" i="6"/>
  <c r="R60" i="6"/>
  <c r="R64" i="6"/>
  <c r="R71" i="6"/>
  <c r="R72" i="6"/>
  <c r="R76" i="6"/>
  <c r="R83" i="6"/>
  <c r="R84" i="6"/>
  <c r="R88" i="6"/>
  <c r="R95" i="6"/>
  <c r="R96" i="6"/>
  <c r="R107" i="6"/>
  <c r="R108" i="6"/>
  <c r="R119" i="6"/>
  <c r="R120" i="6"/>
  <c r="R131" i="6"/>
  <c r="R132" i="6"/>
  <c r="R143" i="6"/>
  <c r="R144" i="6"/>
  <c r="R155" i="6"/>
  <c r="R156" i="6"/>
  <c r="R167" i="6"/>
  <c r="R168" i="6"/>
  <c r="R179" i="6"/>
  <c r="R180" i="6"/>
  <c r="R191" i="6"/>
  <c r="R192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" i="6"/>
  <c r="P3" i="6"/>
  <c r="R3" i="6" s="1"/>
  <c r="P4" i="6"/>
  <c r="P5" i="6"/>
  <c r="R5" i="6" s="1"/>
  <c r="P6" i="6"/>
  <c r="R6" i="6" s="1"/>
  <c r="P7" i="6"/>
  <c r="R7" i="6" s="1"/>
  <c r="P8" i="6"/>
  <c r="R8" i="6" s="1"/>
  <c r="P9" i="6"/>
  <c r="R9" i="6" s="1"/>
  <c r="P10" i="6"/>
  <c r="R10" i="6" s="1"/>
  <c r="P11" i="6"/>
  <c r="P12" i="6"/>
  <c r="P13" i="6"/>
  <c r="R13" i="6" s="1"/>
  <c r="P14" i="6"/>
  <c r="R14" i="6" s="1"/>
  <c r="P15" i="6"/>
  <c r="R15" i="6" s="1"/>
  <c r="P16" i="6"/>
  <c r="P17" i="6"/>
  <c r="R17" i="6" s="1"/>
  <c r="P18" i="6"/>
  <c r="R18" i="6" s="1"/>
  <c r="P19" i="6"/>
  <c r="R19" i="6" s="1"/>
  <c r="P20" i="6"/>
  <c r="R20" i="6" s="1"/>
  <c r="P21" i="6"/>
  <c r="R21" i="6" s="1"/>
  <c r="P22" i="6"/>
  <c r="R22" i="6" s="1"/>
  <c r="P23" i="6"/>
  <c r="P24" i="6"/>
  <c r="P25" i="6"/>
  <c r="R25" i="6" s="1"/>
  <c r="P26" i="6"/>
  <c r="R26" i="6" s="1"/>
  <c r="P27" i="6"/>
  <c r="R27" i="6" s="1"/>
  <c r="P28" i="6"/>
  <c r="P29" i="6"/>
  <c r="R29" i="6" s="1"/>
  <c r="P30" i="6"/>
  <c r="R30" i="6" s="1"/>
  <c r="P31" i="6"/>
  <c r="R31" i="6" s="1"/>
  <c r="P32" i="6"/>
  <c r="R32" i="6" s="1"/>
  <c r="P33" i="6"/>
  <c r="R33" i="6" s="1"/>
  <c r="P34" i="6"/>
  <c r="R34" i="6" s="1"/>
  <c r="P35" i="6"/>
  <c r="P36" i="6"/>
  <c r="P37" i="6"/>
  <c r="R37" i="6" s="1"/>
  <c r="P38" i="6"/>
  <c r="R38" i="6" s="1"/>
  <c r="P39" i="6"/>
  <c r="R39" i="6" s="1"/>
  <c r="P40" i="6"/>
  <c r="P41" i="6"/>
  <c r="R41" i="6" s="1"/>
  <c r="P42" i="6"/>
  <c r="R42" i="6" s="1"/>
  <c r="P43" i="6"/>
  <c r="R43" i="6" s="1"/>
  <c r="P44" i="6"/>
  <c r="R44" i="6" s="1"/>
  <c r="P45" i="6"/>
  <c r="R45" i="6" s="1"/>
  <c r="P46" i="6"/>
  <c r="R46" i="6" s="1"/>
  <c r="P47" i="6"/>
  <c r="P48" i="6"/>
  <c r="P49" i="6"/>
  <c r="R49" i="6" s="1"/>
  <c r="P50" i="6"/>
  <c r="R50" i="6" s="1"/>
  <c r="P51" i="6"/>
  <c r="R51" i="6" s="1"/>
  <c r="P52" i="6"/>
  <c r="P53" i="6"/>
  <c r="R53" i="6" s="1"/>
  <c r="P54" i="6"/>
  <c r="R54" i="6" s="1"/>
  <c r="P55" i="6"/>
  <c r="R55" i="6" s="1"/>
  <c r="P56" i="6"/>
  <c r="R56" i="6" s="1"/>
  <c r="P57" i="6"/>
  <c r="R57" i="6" s="1"/>
  <c r="P58" i="6"/>
  <c r="R58" i="6" s="1"/>
  <c r="P59" i="6"/>
  <c r="P60" i="6"/>
  <c r="P61" i="6"/>
  <c r="R61" i="6" s="1"/>
  <c r="P62" i="6"/>
  <c r="R62" i="6" s="1"/>
  <c r="P63" i="6"/>
  <c r="R63" i="6" s="1"/>
  <c r="P64" i="6"/>
  <c r="P65" i="6"/>
  <c r="R65" i="6" s="1"/>
  <c r="P66" i="6"/>
  <c r="R66" i="6" s="1"/>
  <c r="P67" i="6"/>
  <c r="R67" i="6" s="1"/>
  <c r="P68" i="6"/>
  <c r="R68" i="6" s="1"/>
  <c r="P69" i="6"/>
  <c r="R69" i="6" s="1"/>
  <c r="P70" i="6"/>
  <c r="R70" i="6" s="1"/>
  <c r="P71" i="6"/>
  <c r="P72" i="6"/>
  <c r="P73" i="6"/>
  <c r="R73" i="6" s="1"/>
  <c r="P74" i="6"/>
  <c r="R74" i="6" s="1"/>
  <c r="P75" i="6"/>
  <c r="R75" i="6" s="1"/>
  <c r="P76" i="6"/>
  <c r="P77" i="6"/>
  <c r="R77" i="6" s="1"/>
  <c r="P78" i="6"/>
  <c r="R78" i="6" s="1"/>
  <c r="P79" i="6"/>
  <c r="R79" i="6" s="1"/>
  <c r="P80" i="6"/>
  <c r="R80" i="6" s="1"/>
  <c r="P81" i="6"/>
  <c r="R81" i="6" s="1"/>
  <c r="P82" i="6"/>
  <c r="R82" i="6" s="1"/>
  <c r="P83" i="6"/>
  <c r="P84" i="6"/>
  <c r="P85" i="6"/>
  <c r="R85" i="6" s="1"/>
  <c r="P86" i="6"/>
  <c r="R86" i="6" s="1"/>
  <c r="P87" i="6"/>
  <c r="R87" i="6" s="1"/>
  <c r="P88" i="6"/>
  <c r="P89" i="6"/>
  <c r="R89" i="6" s="1"/>
  <c r="P90" i="6"/>
  <c r="R90" i="6" s="1"/>
  <c r="P91" i="6"/>
  <c r="R91" i="6" s="1"/>
  <c r="P92" i="6"/>
  <c r="R92" i="6" s="1"/>
  <c r="P93" i="6"/>
  <c r="R93" i="6" s="1"/>
  <c r="P94" i="6"/>
  <c r="R94" i="6" s="1"/>
  <c r="P95" i="6"/>
  <c r="P96" i="6"/>
  <c r="P97" i="6"/>
  <c r="R97" i="6" s="1"/>
  <c r="P98" i="6"/>
  <c r="R98" i="6" s="1"/>
  <c r="P99" i="6"/>
  <c r="R99" i="6" s="1"/>
  <c r="P100" i="6"/>
  <c r="R100" i="6" s="1"/>
  <c r="P101" i="6"/>
  <c r="R101" i="6" s="1"/>
  <c r="P102" i="6"/>
  <c r="R102" i="6" s="1"/>
  <c r="P103" i="6"/>
  <c r="R103" i="6" s="1"/>
  <c r="P104" i="6"/>
  <c r="R104" i="6" s="1"/>
  <c r="P105" i="6"/>
  <c r="R105" i="6" s="1"/>
  <c r="P106" i="6"/>
  <c r="R106" i="6" s="1"/>
  <c r="P107" i="6"/>
  <c r="P108" i="6"/>
  <c r="P109" i="6"/>
  <c r="R109" i="6" s="1"/>
  <c r="P110" i="6"/>
  <c r="R110" i="6" s="1"/>
  <c r="P111" i="6"/>
  <c r="R111" i="6" s="1"/>
  <c r="P112" i="6"/>
  <c r="R112" i="6" s="1"/>
  <c r="P113" i="6"/>
  <c r="R113" i="6" s="1"/>
  <c r="P114" i="6"/>
  <c r="R114" i="6" s="1"/>
  <c r="P115" i="6"/>
  <c r="R115" i="6" s="1"/>
  <c r="P116" i="6"/>
  <c r="R116" i="6" s="1"/>
  <c r="P117" i="6"/>
  <c r="R117" i="6" s="1"/>
  <c r="P118" i="6"/>
  <c r="R118" i="6" s="1"/>
  <c r="P119" i="6"/>
  <c r="P120" i="6"/>
  <c r="P121" i="6"/>
  <c r="R121" i="6" s="1"/>
  <c r="P122" i="6"/>
  <c r="R122" i="6" s="1"/>
  <c r="P123" i="6"/>
  <c r="R123" i="6" s="1"/>
  <c r="P124" i="6"/>
  <c r="R124" i="6" s="1"/>
  <c r="P125" i="6"/>
  <c r="R125" i="6" s="1"/>
  <c r="P126" i="6"/>
  <c r="R126" i="6" s="1"/>
  <c r="P127" i="6"/>
  <c r="R127" i="6" s="1"/>
  <c r="P128" i="6"/>
  <c r="R128" i="6" s="1"/>
  <c r="P129" i="6"/>
  <c r="R129" i="6" s="1"/>
  <c r="P130" i="6"/>
  <c r="R130" i="6" s="1"/>
  <c r="P131" i="6"/>
  <c r="P132" i="6"/>
  <c r="P133" i="6"/>
  <c r="R133" i="6" s="1"/>
  <c r="P134" i="6"/>
  <c r="R134" i="6" s="1"/>
  <c r="P135" i="6"/>
  <c r="R135" i="6" s="1"/>
  <c r="P136" i="6"/>
  <c r="R136" i="6" s="1"/>
  <c r="P137" i="6"/>
  <c r="R137" i="6" s="1"/>
  <c r="P138" i="6"/>
  <c r="R138" i="6" s="1"/>
  <c r="P139" i="6"/>
  <c r="R139" i="6" s="1"/>
  <c r="P140" i="6"/>
  <c r="R140" i="6" s="1"/>
  <c r="P141" i="6"/>
  <c r="R141" i="6" s="1"/>
  <c r="P142" i="6"/>
  <c r="R142" i="6" s="1"/>
  <c r="P143" i="6"/>
  <c r="P144" i="6"/>
  <c r="P145" i="6"/>
  <c r="R145" i="6" s="1"/>
  <c r="P146" i="6"/>
  <c r="R146" i="6" s="1"/>
  <c r="P147" i="6"/>
  <c r="R147" i="6" s="1"/>
  <c r="P148" i="6"/>
  <c r="R148" i="6" s="1"/>
  <c r="P149" i="6"/>
  <c r="R149" i="6" s="1"/>
  <c r="P150" i="6"/>
  <c r="R150" i="6" s="1"/>
  <c r="P151" i="6"/>
  <c r="R151" i="6" s="1"/>
  <c r="P152" i="6"/>
  <c r="R152" i="6" s="1"/>
  <c r="P153" i="6"/>
  <c r="R153" i="6" s="1"/>
  <c r="P154" i="6"/>
  <c r="R154" i="6" s="1"/>
  <c r="P155" i="6"/>
  <c r="P156" i="6"/>
  <c r="P157" i="6"/>
  <c r="R157" i="6" s="1"/>
  <c r="P158" i="6"/>
  <c r="R158" i="6" s="1"/>
  <c r="P159" i="6"/>
  <c r="R159" i="6" s="1"/>
  <c r="P160" i="6"/>
  <c r="R160" i="6" s="1"/>
  <c r="P161" i="6"/>
  <c r="R161" i="6" s="1"/>
  <c r="P162" i="6"/>
  <c r="R162" i="6" s="1"/>
  <c r="P163" i="6"/>
  <c r="R163" i="6" s="1"/>
  <c r="P164" i="6"/>
  <c r="R164" i="6" s="1"/>
  <c r="P165" i="6"/>
  <c r="R165" i="6" s="1"/>
  <c r="P166" i="6"/>
  <c r="R166" i="6" s="1"/>
  <c r="P167" i="6"/>
  <c r="P168" i="6"/>
  <c r="P169" i="6"/>
  <c r="R169" i="6" s="1"/>
  <c r="P170" i="6"/>
  <c r="R170" i="6" s="1"/>
  <c r="P171" i="6"/>
  <c r="R171" i="6" s="1"/>
  <c r="P172" i="6"/>
  <c r="R172" i="6" s="1"/>
  <c r="P173" i="6"/>
  <c r="R173" i="6" s="1"/>
  <c r="P174" i="6"/>
  <c r="R174" i="6" s="1"/>
  <c r="P175" i="6"/>
  <c r="R175" i="6" s="1"/>
  <c r="P176" i="6"/>
  <c r="R176" i="6" s="1"/>
  <c r="P177" i="6"/>
  <c r="R177" i="6" s="1"/>
  <c r="P178" i="6"/>
  <c r="R178" i="6" s="1"/>
  <c r="P179" i="6"/>
  <c r="P180" i="6"/>
  <c r="P181" i="6"/>
  <c r="R181" i="6" s="1"/>
  <c r="P182" i="6"/>
  <c r="R182" i="6" s="1"/>
  <c r="P183" i="6"/>
  <c r="R183" i="6" s="1"/>
  <c r="P184" i="6"/>
  <c r="R184" i="6" s="1"/>
  <c r="P185" i="6"/>
  <c r="R185" i="6" s="1"/>
  <c r="P186" i="6"/>
  <c r="R186" i="6" s="1"/>
  <c r="P187" i="6"/>
  <c r="R187" i="6" s="1"/>
  <c r="P188" i="6"/>
  <c r="R188" i="6" s="1"/>
  <c r="P189" i="6"/>
  <c r="R189" i="6" s="1"/>
  <c r="P190" i="6"/>
  <c r="R190" i="6" s="1"/>
  <c r="P191" i="6"/>
  <c r="P192" i="6"/>
  <c r="P193" i="6"/>
  <c r="R193" i="6" s="1"/>
  <c r="P194" i="6"/>
  <c r="R194" i="6" s="1"/>
  <c r="P195" i="6"/>
  <c r="R195" i="6" s="1"/>
  <c r="P196" i="6"/>
  <c r="R196" i="6" s="1"/>
  <c r="P197" i="6"/>
  <c r="R197" i="6" s="1"/>
  <c r="P198" i="6"/>
  <c r="R198" i="6" s="1"/>
  <c r="P199" i="6"/>
  <c r="R199" i="6" s="1"/>
  <c r="P200" i="6"/>
  <c r="R200" i="6" s="1"/>
  <c r="P201" i="6"/>
  <c r="R201" i="6" s="1"/>
  <c r="P2" i="6"/>
  <c r="R2" i="6" s="1"/>
  <c r="J5" i="6"/>
  <c r="M5" i="6" s="1"/>
  <c r="P3" i="7"/>
  <c r="P2" i="7"/>
  <c r="P1" i="7"/>
  <c r="O3" i="6"/>
  <c r="O4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N3" i="6"/>
  <c r="N4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M3" i="6"/>
  <c r="M4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" i="6"/>
  <c r="O2" i="6"/>
  <c r="N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C5" i="9" s="1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" i="6"/>
  <c r="J3" i="6"/>
  <c r="J4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" i="6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B5" i="9" l="1"/>
  <c r="C4" i="9"/>
  <c r="E2" i="9"/>
  <c r="E6" i="9"/>
  <c r="F2" i="9"/>
  <c r="D3" i="9"/>
  <c r="E5" i="9"/>
  <c r="F6" i="9"/>
  <c r="F5" i="9"/>
  <c r="E3" i="9"/>
  <c r="F4" i="9"/>
  <c r="B2" i="9"/>
  <c r="C6" i="9"/>
  <c r="F3" i="9"/>
  <c r="B6" i="9"/>
  <c r="I2" i="9" s="1"/>
  <c r="N5" i="6"/>
  <c r="O5" i="6"/>
</calcChain>
</file>

<file path=xl/sharedStrings.xml><?xml version="1.0" encoding="utf-8"?>
<sst xmlns="http://schemas.openxmlformats.org/spreadsheetml/2006/main" count="2473" uniqueCount="729">
  <si>
    <t>ProductID</t>
  </si>
  <si>
    <t>ProductName</t>
  </si>
  <si>
    <t>Category</t>
  </si>
  <si>
    <t>SubCategory</t>
  </si>
  <si>
    <t>Brand</t>
  </si>
  <si>
    <t>UnitPrice</t>
  </si>
  <si>
    <t>CostPrice</t>
  </si>
  <si>
    <t>Supplier</t>
  </si>
  <si>
    <t>P001</t>
  </si>
  <si>
    <t>Basmati Rice 5kg</t>
  </si>
  <si>
    <t>Grocery</t>
  </si>
  <si>
    <t>Staples</t>
  </si>
  <si>
    <t>India Gate</t>
  </si>
  <si>
    <t>AgriSupply Co</t>
  </si>
  <si>
    <t>P002</t>
  </si>
  <si>
    <t>Toor Dal 1kg</t>
  </si>
  <si>
    <t>Pulses</t>
  </si>
  <si>
    <t>Patanjali</t>
  </si>
  <si>
    <t>PulseMart</t>
  </si>
  <si>
    <t>P003</t>
  </si>
  <si>
    <t>Sunflower Oil 1L</t>
  </si>
  <si>
    <t>Edible Oil</t>
  </si>
  <si>
    <t>Fortune</t>
  </si>
  <si>
    <t>OilBridge</t>
  </si>
  <si>
    <t>P004</t>
  </si>
  <si>
    <t>Amul Butter 500g</t>
  </si>
  <si>
    <t>Dairy</t>
  </si>
  <si>
    <t>Butter</t>
  </si>
  <si>
    <t>Amul</t>
  </si>
  <si>
    <t>Amul Dairy</t>
  </si>
  <si>
    <t>P005</t>
  </si>
  <si>
    <t>Amul Gold Milk 1L</t>
  </si>
  <si>
    <t>Milk</t>
  </si>
  <si>
    <t>P006</t>
  </si>
  <si>
    <t>Samsung 43 Smart TV</t>
  </si>
  <si>
    <t>Electronics</t>
  </si>
  <si>
    <t>Television</t>
  </si>
  <si>
    <t>Samsung</t>
  </si>
  <si>
    <t>Samsung India</t>
  </si>
  <si>
    <t>P007</t>
  </si>
  <si>
    <t>boAt Rockerz 450</t>
  </si>
  <si>
    <t>Headphones</t>
  </si>
  <si>
    <t>boAt</t>
  </si>
  <si>
    <t>boAt Lifestyle</t>
  </si>
  <si>
    <t>P008</t>
  </si>
  <si>
    <t>Philips LED Bulb 9W</t>
  </si>
  <si>
    <t>Lighting</t>
  </si>
  <si>
    <t>Philips</t>
  </si>
  <si>
    <t>Philips India</t>
  </si>
  <si>
    <t>P009</t>
  </si>
  <si>
    <t>Surf Excel 1kg</t>
  </si>
  <si>
    <t>Home Care</t>
  </si>
  <si>
    <t>Detergent</t>
  </si>
  <si>
    <t>Surf Excel</t>
  </si>
  <si>
    <t>HUL</t>
  </si>
  <si>
    <t>P010</t>
  </si>
  <si>
    <t>Dettol Handwash 250ml</t>
  </si>
  <si>
    <t>Hygiene</t>
  </si>
  <si>
    <t>Dettol</t>
  </si>
  <si>
    <t>Reckitt</t>
  </si>
  <si>
    <t>P011</t>
  </si>
  <si>
    <t>Lakme Lipstick</t>
  </si>
  <si>
    <t>Beauty</t>
  </si>
  <si>
    <t>Cosmetics</t>
  </si>
  <si>
    <t>Lakme</t>
  </si>
  <si>
    <t>P012</t>
  </si>
  <si>
    <t>Dove Shampoo 340ml</t>
  </si>
  <si>
    <t>Hair Care</t>
  </si>
  <si>
    <t>Dove</t>
  </si>
  <si>
    <t>P013</t>
  </si>
  <si>
    <t>Levis Jeans</t>
  </si>
  <si>
    <t>Apparel</t>
  </si>
  <si>
    <t>Bottomwear</t>
  </si>
  <si>
    <t>Levis</t>
  </si>
  <si>
    <t>Levis India</t>
  </si>
  <si>
    <t>P014</t>
  </si>
  <si>
    <t>Nike T-Shirt</t>
  </si>
  <si>
    <t>Topwear</t>
  </si>
  <si>
    <t>Nike</t>
  </si>
  <si>
    <t>Nike India</t>
  </si>
  <si>
    <t>P015</t>
  </si>
  <si>
    <t>Prestige Cooker 5L</t>
  </si>
  <si>
    <t>Kitchenware</t>
  </si>
  <si>
    <t>Cookers</t>
  </si>
  <si>
    <t>Prestige</t>
  </si>
  <si>
    <t>TTK Prestige</t>
  </si>
  <si>
    <t>P016</t>
  </si>
  <si>
    <t>Milton Steel Bottle 1L</t>
  </si>
  <si>
    <t>Bottles</t>
  </si>
  <si>
    <t>Milton</t>
  </si>
  <si>
    <t>Milton India</t>
  </si>
  <si>
    <t>P017</t>
  </si>
  <si>
    <t>Parle-G Biscuits 1kg</t>
  </si>
  <si>
    <t>Snacks</t>
  </si>
  <si>
    <t>Parle</t>
  </si>
  <si>
    <t>Parle Products</t>
  </si>
  <si>
    <t>P018</t>
  </si>
  <si>
    <t>Maggi Noodles 12pk</t>
  </si>
  <si>
    <t>Instant Food</t>
  </si>
  <si>
    <t>Nestle</t>
  </si>
  <si>
    <t>Nestle India</t>
  </si>
  <si>
    <t>P019</t>
  </si>
  <si>
    <t>Colgate Toothpaste 200g</t>
  </si>
  <si>
    <t>Oral Care</t>
  </si>
  <si>
    <t>Colgate</t>
  </si>
  <si>
    <t>Colgate India</t>
  </si>
  <si>
    <t>P020</t>
  </si>
  <si>
    <t>Woodland Shoes</t>
  </si>
  <si>
    <t>Footwear</t>
  </si>
  <si>
    <t>Woodland</t>
  </si>
  <si>
    <t>StoreID</t>
  </si>
  <si>
    <t>StoreName</t>
  </si>
  <si>
    <t>City</t>
  </si>
  <si>
    <t>State</t>
  </si>
  <si>
    <t>Zone</t>
  </si>
  <si>
    <t>StoreType</t>
  </si>
  <si>
    <t>Manager</t>
  </si>
  <si>
    <t>OpenDate</t>
  </si>
  <si>
    <t>SqFt</t>
  </si>
  <si>
    <t>S01</t>
  </si>
  <si>
    <t>ZestMart Connaught Place</t>
  </si>
  <si>
    <t>Delhi</t>
  </si>
  <si>
    <t>North</t>
  </si>
  <si>
    <t>Flagship</t>
  </si>
  <si>
    <t>Rajesh Sharma</t>
  </si>
  <si>
    <t>2018-03-15</t>
  </si>
  <si>
    <t>S02</t>
  </si>
  <si>
    <t>ZestMart Lajpat Nagar</t>
  </si>
  <si>
    <t>Standard</t>
  </si>
  <si>
    <t>Priya Mehta</t>
  </si>
  <si>
    <t>2019-06-01</t>
  </si>
  <si>
    <t>S03</t>
  </si>
  <si>
    <t>ZestMart Andheri</t>
  </si>
  <si>
    <t>Mumbai</t>
  </si>
  <si>
    <t>Maharashtra</t>
  </si>
  <si>
    <t>West</t>
  </si>
  <si>
    <t>Suresh Patil</t>
  </si>
  <si>
    <t>2017-11-20</t>
  </si>
  <si>
    <t>S04</t>
  </si>
  <si>
    <t>ZestMart Borivali</t>
  </si>
  <si>
    <t>Anjali Desai</t>
  </si>
  <si>
    <t>2020-02-10</t>
  </si>
  <si>
    <t>S05</t>
  </si>
  <si>
    <t>ZestMart Koramangala</t>
  </si>
  <si>
    <t>Bangalore</t>
  </si>
  <si>
    <t>Karnataka</t>
  </si>
  <si>
    <t>South</t>
  </si>
  <si>
    <t>Vikram Nair</t>
  </si>
  <si>
    <t>2018-08-05</t>
  </si>
  <si>
    <t>S06</t>
  </si>
  <si>
    <t>ZestMart Whitefield</t>
  </si>
  <si>
    <t>Deepa Rao</t>
  </si>
  <si>
    <t>2021-01-15</t>
  </si>
  <si>
    <t>S07</t>
  </si>
  <si>
    <t>ZestMart T-Nagar</t>
  </si>
  <si>
    <t>Chennai</t>
  </si>
  <si>
    <t>Tamil Nadu</t>
  </si>
  <si>
    <t>Arun Kumar</t>
  </si>
  <si>
    <t>2019-04-22</t>
  </si>
  <si>
    <t>S08</t>
  </si>
  <si>
    <t>ZestMart Anna Nagar</t>
  </si>
  <si>
    <t>Meena Suresh</t>
  </si>
  <si>
    <t>2020-09-30</t>
  </si>
  <si>
    <t>S09</t>
  </si>
  <si>
    <t>ZestMart Salt Lake</t>
  </si>
  <si>
    <t>Kolkata</t>
  </si>
  <si>
    <t>West Bengal</t>
  </si>
  <si>
    <t>East</t>
  </si>
  <si>
    <t>Subhash Ghosh</t>
  </si>
  <si>
    <t>2018-12-01</t>
  </si>
  <si>
    <t>S10</t>
  </si>
  <si>
    <t>ZestMart Park Street</t>
  </si>
  <si>
    <t>Rupa Banerjee</t>
  </si>
  <si>
    <t>2021-07-08</t>
  </si>
  <si>
    <t>CustomerID</t>
  </si>
  <si>
    <t>CustomerName</t>
  </si>
  <si>
    <t>Gender</t>
  </si>
  <si>
    <t>AgeGroup</t>
  </si>
  <si>
    <t>Segment</t>
  </si>
  <si>
    <t>JoinDate</t>
  </si>
  <si>
    <t>Email</t>
  </si>
  <si>
    <t>C001</t>
  </si>
  <si>
    <t>Aarav Sharma</t>
  </si>
  <si>
    <t>Male</t>
  </si>
  <si>
    <t>26-35</t>
  </si>
  <si>
    <t>Premium</t>
  </si>
  <si>
    <t>2020-01-15</t>
  </si>
  <si>
    <t>aarav@email.com</t>
  </si>
  <si>
    <t>C002</t>
  </si>
  <si>
    <t>Priya Singh</t>
  </si>
  <si>
    <t>Female</t>
  </si>
  <si>
    <t>18-25</t>
  </si>
  <si>
    <t>Regular</t>
  </si>
  <si>
    <t>2021-03-22</t>
  </si>
  <si>
    <t>priya@email.com</t>
  </si>
  <si>
    <t>C003</t>
  </si>
  <si>
    <t>36-45</t>
  </si>
  <si>
    <t>2019-07-10</t>
  </si>
  <si>
    <t>vikram@email.com</t>
  </si>
  <si>
    <t>C004</t>
  </si>
  <si>
    <t>Sunita Rao</t>
  </si>
  <si>
    <t>46-55</t>
  </si>
  <si>
    <t>2020-11-05</t>
  </si>
  <si>
    <t>sunita@email.com</t>
  </si>
  <si>
    <t>C005</t>
  </si>
  <si>
    <t>Rohan Gupta</t>
  </si>
  <si>
    <t>2022-02-18</t>
  </si>
  <si>
    <t>rohan@email.com</t>
  </si>
  <si>
    <t>C006</t>
  </si>
  <si>
    <t>Deepa Menon</t>
  </si>
  <si>
    <t>2020-06-30</t>
  </si>
  <si>
    <t>deepa@email.com</t>
  </si>
  <si>
    <t>C007</t>
  </si>
  <si>
    <t>Arjun Patel</t>
  </si>
  <si>
    <t>New</t>
  </si>
  <si>
    <t>2023-01-12</t>
  </si>
  <si>
    <t>arjun@email.com</t>
  </si>
  <si>
    <t>C008</t>
  </si>
  <si>
    <t>Kavitha Kumar</t>
  </si>
  <si>
    <t>2021-09-20</t>
  </si>
  <si>
    <t>kavitha@email.com</t>
  </si>
  <si>
    <t>C009</t>
  </si>
  <si>
    <t>Suresh Ghosh</t>
  </si>
  <si>
    <t>2019-04-08</t>
  </si>
  <si>
    <t>suresh@email.com</t>
  </si>
  <si>
    <t>C010</t>
  </si>
  <si>
    <t>Rupa Devi</t>
  </si>
  <si>
    <t>56-65</t>
  </si>
  <si>
    <t>2020-08-14</t>
  </si>
  <si>
    <t>rupa@email.com</t>
  </si>
  <si>
    <t>C011</t>
  </si>
  <si>
    <t>Manish Joshi</t>
  </si>
  <si>
    <t>2020-03-25</t>
  </si>
  <si>
    <t>manish@email.com</t>
  </si>
  <si>
    <t>C012</t>
  </si>
  <si>
    <t>Anita Kapoor</t>
  </si>
  <si>
    <t>2022-07-19</t>
  </si>
  <si>
    <t>anita@email.com</t>
  </si>
  <si>
    <t>C013</t>
  </si>
  <si>
    <t>Sanjay Iyer</t>
  </si>
  <si>
    <t>2021-05-11</t>
  </si>
  <si>
    <t>sanjay@email.com</t>
  </si>
  <si>
    <t>C014</t>
  </si>
  <si>
    <t>Pooja Verma</t>
  </si>
  <si>
    <t>2023-03-07</t>
  </si>
  <si>
    <t>pooja@email.com</t>
  </si>
  <si>
    <t>C015</t>
  </si>
  <si>
    <t>Arun Banerjee</t>
  </si>
  <si>
    <t>2019-12-01</t>
  </si>
  <si>
    <t>arun@email.com</t>
  </si>
  <si>
    <t>C016</t>
  </si>
  <si>
    <t>Rekha Pillai</t>
  </si>
  <si>
    <t>2021-10-28</t>
  </si>
  <si>
    <t>rekha@email.com</t>
  </si>
  <si>
    <t>C017</t>
  </si>
  <si>
    <t>Dinesh Yadav</t>
  </si>
  <si>
    <t>2020-05-16</t>
  </si>
  <si>
    <t>dinesh@email.com</t>
  </si>
  <si>
    <t>C018</t>
  </si>
  <si>
    <t>Sudha Sharma</t>
  </si>
  <si>
    <t>2020-09-22</t>
  </si>
  <si>
    <t>sudha@email.com</t>
  </si>
  <si>
    <t>C019</t>
  </si>
  <si>
    <t>Kiran Reddy</t>
  </si>
  <si>
    <t>2023-02-14</t>
  </si>
  <si>
    <t>kiran@email.com</t>
  </si>
  <si>
    <t>C020</t>
  </si>
  <si>
    <t>Lalita Das</t>
  </si>
  <si>
    <t>2021-06-03</t>
  </si>
  <si>
    <t>lalita@email.com</t>
  </si>
  <si>
    <t>EmployeeID</t>
  </si>
  <si>
    <t>EmployeeName</t>
  </si>
  <si>
    <t>Role</t>
  </si>
  <si>
    <t>Department</t>
  </si>
  <si>
    <t>Salary</t>
  </si>
  <si>
    <t>Status</t>
  </si>
  <si>
    <t>E001</t>
  </si>
  <si>
    <t>Ravi Kumar</t>
  </si>
  <si>
    <t>Store Manager</t>
  </si>
  <si>
    <t>Operations</t>
  </si>
  <si>
    <t>Active</t>
  </si>
  <si>
    <t>E002</t>
  </si>
  <si>
    <t>Nisha Patel</t>
  </si>
  <si>
    <t>Sales Executive</t>
  </si>
  <si>
    <t>Sales</t>
  </si>
  <si>
    <t>E003</t>
  </si>
  <si>
    <t>Amit Singh</t>
  </si>
  <si>
    <t>Cashier</t>
  </si>
  <si>
    <t>Finance</t>
  </si>
  <si>
    <t>2020-01-10</t>
  </si>
  <si>
    <t>E004</t>
  </si>
  <si>
    <t>Seema Gupta</t>
  </si>
  <si>
    <t>E005</t>
  </si>
  <si>
    <t>Rahul Verma</t>
  </si>
  <si>
    <t>2021-03-15</t>
  </si>
  <si>
    <t>E006</t>
  </si>
  <si>
    <t>Priti Shah</t>
  </si>
  <si>
    <t>E007</t>
  </si>
  <si>
    <t>Siddharth Joshi</t>
  </si>
  <si>
    <t>Asst Manager</t>
  </si>
  <si>
    <t>2018-05-10</t>
  </si>
  <si>
    <t>E008</t>
  </si>
  <si>
    <t>Lata Naik</t>
  </si>
  <si>
    <t>2020-07-22</t>
  </si>
  <si>
    <t>E009</t>
  </si>
  <si>
    <t>Vinod Rao</t>
  </si>
  <si>
    <t>E010</t>
  </si>
  <si>
    <t>Anand Nair</t>
  </si>
  <si>
    <t>E011</t>
  </si>
  <si>
    <t>Divya Krishnan</t>
  </si>
  <si>
    <t>2021-09-01</t>
  </si>
  <si>
    <t>E012</t>
  </si>
  <si>
    <t>Sunil Sharma</t>
  </si>
  <si>
    <t>E013</t>
  </si>
  <si>
    <t>Meera Iyer</t>
  </si>
  <si>
    <t>E014</t>
  </si>
  <si>
    <t>Kartik Kumar</t>
  </si>
  <si>
    <t>E015</t>
  </si>
  <si>
    <t>Asha Menon</t>
  </si>
  <si>
    <t>E016</t>
  </si>
  <si>
    <t>Tapas Ghosh</t>
  </si>
  <si>
    <t>E017</t>
  </si>
  <si>
    <t>Soma Dutta</t>
  </si>
  <si>
    <t>2021-04-18</t>
  </si>
  <si>
    <t>Resigned</t>
  </si>
  <si>
    <t>E018</t>
  </si>
  <si>
    <t>Bimal Roy</t>
  </si>
  <si>
    <t>E019</t>
  </si>
  <si>
    <t>Rinki Das</t>
  </si>
  <si>
    <t>2022-03-01</t>
  </si>
  <si>
    <t>E020</t>
  </si>
  <si>
    <t>Chandan Sen</t>
  </si>
  <si>
    <t>Security</t>
  </si>
  <si>
    <t>Admin</t>
  </si>
  <si>
    <t>2019-08-15</t>
  </si>
  <si>
    <t>SaleID</t>
  </si>
  <si>
    <t>Date</t>
  </si>
  <si>
    <t>Quantity</t>
  </si>
  <si>
    <t>DiscountPct</t>
  </si>
  <si>
    <t>SL0001</t>
  </si>
  <si>
    <t>2023-11-24</t>
  </si>
  <si>
    <t>SL0002</t>
  </si>
  <si>
    <t>2023-03-13</t>
  </si>
  <si>
    <t>SL0003</t>
  </si>
  <si>
    <t>2023-01-17</t>
  </si>
  <si>
    <t>SL0004</t>
  </si>
  <si>
    <t>2023-11-05</t>
  </si>
  <si>
    <t>SL0005</t>
  </si>
  <si>
    <t>2023-04-23</t>
  </si>
  <si>
    <t>SL0006</t>
  </si>
  <si>
    <t>2023-12-24</t>
  </si>
  <si>
    <t>SL0007</t>
  </si>
  <si>
    <t>2023-06-22</t>
  </si>
  <si>
    <t>SL0008</t>
  </si>
  <si>
    <t>2023-06-26</t>
  </si>
  <si>
    <t>SL0009</t>
  </si>
  <si>
    <t>2023-03-05</t>
  </si>
  <si>
    <t>SL0010</t>
  </si>
  <si>
    <t>2023-10-23</t>
  </si>
  <si>
    <t>SL0011</t>
  </si>
  <si>
    <t>2023-02-10</t>
  </si>
  <si>
    <t>SL0012</t>
  </si>
  <si>
    <t>2023-11-22</t>
  </si>
  <si>
    <t>SL0013</t>
  </si>
  <si>
    <t>2023-12-10</t>
  </si>
  <si>
    <t>SL0014</t>
  </si>
  <si>
    <t>2023-05-06</t>
  </si>
  <si>
    <t>SL0015</t>
  </si>
  <si>
    <t>SL0016</t>
  </si>
  <si>
    <t>2023-07-25</t>
  </si>
  <si>
    <t>SL0017</t>
  </si>
  <si>
    <t>2023-04-19</t>
  </si>
  <si>
    <t>SL0018</t>
  </si>
  <si>
    <t>SL0019</t>
  </si>
  <si>
    <t>2023-10-26</t>
  </si>
  <si>
    <t>SL0020</t>
  </si>
  <si>
    <t>2023-09-10</t>
  </si>
  <si>
    <t>SL0021</t>
  </si>
  <si>
    <t>2023-12-15</t>
  </si>
  <si>
    <t>SL0022</t>
  </si>
  <si>
    <t>2023-11-02</t>
  </si>
  <si>
    <t>SL0023</t>
  </si>
  <si>
    <t>SL0024</t>
  </si>
  <si>
    <t>2023-05-31</t>
  </si>
  <si>
    <t>SL0025</t>
  </si>
  <si>
    <t>2023-09-14</t>
  </si>
  <si>
    <t>SL0026</t>
  </si>
  <si>
    <t>2023-11-08</t>
  </si>
  <si>
    <t>SL0027</t>
  </si>
  <si>
    <t>2023-09-29</t>
  </si>
  <si>
    <t>SL0028</t>
  </si>
  <si>
    <t>2023-02-27</t>
  </si>
  <si>
    <t>SL0029</t>
  </si>
  <si>
    <t>2023-10-18</t>
  </si>
  <si>
    <t>SL0030</t>
  </si>
  <si>
    <t>2023-03-06</t>
  </si>
  <si>
    <t>SL0031</t>
  </si>
  <si>
    <t>2023-09-28</t>
  </si>
  <si>
    <t>SL0032</t>
  </si>
  <si>
    <t>2023-06-09</t>
  </si>
  <si>
    <t>SL0033</t>
  </si>
  <si>
    <t>2023-03-03</t>
  </si>
  <si>
    <t>SL0034</t>
  </si>
  <si>
    <t>2023-10-29</t>
  </si>
  <si>
    <t>SL0035</t>
  </si>
  <si>
    <t>2023-02-06</t>
  </si>
  <si>
    <t>SL0036</t>
  </si>
  <si>
    <t>SL0037</t>
  </si>
  <si>
    <t>2023-10-04</t>
  </si>
  <si>
    <t>SL0038</t>
  </si>
  <si>
    <t>2023-08-31</t>
  </si>
  <si>
    <t>SL0039</t>
  </si>
  <si>
    <t>2023-07-01</t>
  </si>
  <si>
    <t>SL0040</t>
  </si>
  <si>
    <t>2023-02-01</t>
  </si>
  <si>
    <t>SL0041</t>
  </si>
  <si>
    <t>2023-04-08</t>
  </si>
  <si>
    <t>SL0042</t>
  </si>
  <si>
    <t>2023-05-23</t>
  </si>
  <si>
    <t>SL0043</t>
  </si>
  <si>
    <t>2023-02-20</t>
  </si>
  <si>
    <t>SL0044</t>
  </si>
  <si>
    <t>2023-03-27</t>
  </si>
  <si>
    <t>SL0045</t>
  </si>
  <si>
    <t>2023-01-31</t>
  </si>
  <si>
    <t>SL0046</t>
  </si>
  <si>
    <t>2023-08-21</t>
  </si>
  <si>
    <t>SL0047</t>
  </si>
  <si>
    <t>SL0048</t>
  </si>
  <si>
    <t>SL0049</t>
  </si>
  <si>
    <t>2023-09-15</t>
  </si>
  <si>
    <t>SL0050</t>
  </si>
  <si>
    <t>2023-04-06</t>
  </si>
  <si>
    <t>SL0051</t>
  </si>
  <si>
    <t>SL0052</t>
  </si>
  <si>
    <t>2023-11-14</t>
  </si>
  <si>
    <t>SL0053</t>
  </si>
  <si>
    <t>2023-06-11</t>
  </si>
  <si>
    <t>SL0054</t>
  </si>
  <si>
    <t>2023-07-22</t>
  </si>
  <si>
    <t>SL0055</t>
  </si>
  <si>
    <t>2023-01-05</t>
  </si>
  <si>
    <t>SL0056</t>
  </si>
  <si>
    <t>2023-10-03</t>
  </si>
  <si>
    <t>SL0057</t>
  </si>
  <si>
    <t>2023-02-05</t>
  </si>
  <si>
    <t>SL0058</t>
  </si>
  <si>
    <t>2023-10-06</t>
  </si>
  <si>
    <t>SL0059</t>
  </si>
  <si>
    <t>2023-06-03</t>
  </si>
  <si>
    <t>SL0060</t>
  </si>
  <si>
    <t>2023-10-11</t>
  </si>
  <si>
    <t>SL0061</t>
  </si>
  <si>
    <t>2023-06-25</t>
  </si>
  <si>
    <t>SL0062</t>
  </si>
  <si>
    <t>2023-01-27</t>
  </si>
  <si>
    <t>SL0063</t>
  </si>
  <si>
    <t>2023-06-20</t>
  </si>
  <si>
    <t>SL0064</t>
  </si>
  <si>
    <t>2023-12-28</t>
  </si>
  <si>
    <t>SL0065</t>
  </si>
  <si>
    <t>2023-12-20</t>
  </si>
  <si>
    <t>SL0066</t>
  </si>
  <si>
    <t>2023-03-17</t>
  </si>
  <si>
    <t>SL0067</t>
  </si>
  <si>
    <t>2023-01-21</t>
  </si>
  <si>
    <t>SL0068</t>
  </si>
  <si>
    <t>2023-10-14</t>
  </si>
  <si>
    <t>SL0069</t>
  </si>
  <si>
    <t>2023-04-01</t>
  </si>
  <si>
    <t>SL0070</t>
  </si>
  <si>
    <t>2023-12-09</t>
  </si>
  <si>
    <t>SL0071</t>
  </si>
  <si>
    <t>2023-01-20</t>
  </si>
  <si>
    <t>SL0072</t>
  </si>
  <si>
    <t>2023-06-06</t>
  </si>
  <si>
    <t>SL0073</t>
  </si>
  <si>
    <t>2023-06-18</t>
  </si>
  <si>
    <t>SL0074</t>
  </si>
  <si>
    <t>2023-07-24</t>
  </si>
  <si>
    <t>SL0075</t>
  </si>
  <si>
    <t>2023-04-02</t>
  </si>
  <si>
    <t>SL0076</t>
  </si>
  <si>
    <t>SL0077</t>
  </si>
  <si>
    <t>2023-07-17</t>
  </si>
  <si>
    <t>SL0078</t>
  </si>
  <si>
    <t>2023-01-01</t>
  </si>
  <si>
    <t>SL0079</t>
  </si>
  <si>
    <t>SL0080</t>
  </si>
  <si>
    <t>2023-09-17</t>
  </si>
  <si>
    <t>SL0081</t>
  </si>
  <si>
    <t>SL0082</t>
  </si>
  <si>
    <t>2023-11-12</t>
  </si>
  <si>
    <t>SL0083</t>
  </si>
  <si>
    <t>2023-06-05</t>
  </si>
  <si>
    <t>SL0084</t>
  </si>
  <si>
    <t>2023-08-27</t>
  </si>
  <si>
    <t>SL0085</t>
  </si>
  <si>
    <t>2023-03-28</t>
  </si>
  <si>
    <t>SL0086</t>
  </si>
  <si>
    <t>2023-02-17</t>
  </si>
  <si>
    <t>SL0087</t>
  </si>
  <si>
    <t>2023-01-13</t>
  </si>
  <si>
    <t>SL0088</t>
  </si>
  <si>
    <t>2023-08-22</t>
  </si>
  <si>
    <t>SL0089</t>
  </si>
  <si>
    <t>SL0090</t>
  </si>
  <si>
    <t>SL0091</t>
  </si>
  <si>
    <t>2023-05-08</t>
  </si>
  <si>
    <t>SL0092</t>
  </si>
  <si>
    <t>SL0093</t>
  </si>
  <si>
    <t>2023-08-07</t>
  </si>
  <si>
    <t>SL0094</t>
  </si>
  <si>
    <t>2023-05-13</t>
  </si>
  <si>
    <t>SL0095</t>
  </si>
  <si>
    <t>2023-05-21</t>
  </si>
  <si>
    <t>SL0096</t>
  </si>
  <si>
    <t>2023-06-21</t>
  </si>
  <si>
    <t>SL0097</t>
  </si>
  <si>
    <t>2023-04-29</t>
  </si>
  <si>
    <t>SL0098</t>
  </si>
  <si>
    <t>2023-07-28</t>
  </si>
  <si>
    <t>SL0099</t>
  </si>
  <si>
    <t>2023-04-16</t>
  </si>
  <si>
    <t>SL0100</t>
  </si>
  <si>
    <t>2023-09-02</t>
  </si>
  <si>
    <t>SL0101</t>
  </si>
  <si>
    <t>SL0102</t>
  </si>
  <si>
    <t>2023-05-20</t>
  </si>
  <si>
    <t>SL0103</t>
  </si>
  <si>
    <t>SL0104</t>
  </si>
  <si>
    <t>2023-01-14</t>
  </si>
  <si>
    <t>SL0105</t>
  </si>
  <si>
    <t>2023-11-26</t>
  </si>
  <si>
    <t>SL0106</t>
  </si>
  <si>
    <t>2023-05-14</t>
  </si>
  <si>
    <t>SL0107</t>
  </si>
  <si>
    <t>SL0108</t>
  </si>
  <si>
    <t>2023-08-29</t>
  </si>
  <si>
    <t>SL0109</t>
  </si>
  <si>
    <t>2023-11-29</t>
  </si>
  <si>
    <t>SL0110</t>
  </si>
  <si>
    <t>2023-01-11</t>
  </si>
  <si>
    <t>SL0111</t>
  </si>
  <si>
    <t>SL0112</t>
  </si>
  <si>
    <t>2023-07-08</t>
  </si>
  <si>
    <t>SL0113</t>
  </si>
  <si>
    <t>SL0114</t>
  </si>
  <si>
    <t>2023-07-23</t>
  </si>
  <si>
    <t>SL0115</t>
  </si>
  <si>
    <t>2023-12-23</t>
  </si>
  <si>
    <t>SL0116</t>
  </si>
  <si>
    <t>2023-06-27</t>
  </si>
  <si>
    <t>SL0117</t>
  </si>
  <si>
    <t>2023-11-28</t>
  </si>
  <si>
    <t>SL0118</t>
  </si>
  <si>
    <t>2023-08-10</t>
  </si>
  <si>
    <t>SL0119</t>
  </si>
  <si>
    <t>2023-09-25</t>
  </si>
  <si>
    <t>SL0120</t>
  </si>
  <si>
    <t>2023-08-12</t>
  </si>
  <si>
    <t>SL0121</t>
  </si>
  <si>
    <t>SL0122</t>
  </si>
  <si>
    <t>SL0123</t>
  </si>
  <si>
    <t>SL0124</t>
  </si>
  <si>
    <t>2023-10-12</t>
  </si>
  <si>
    <t>SL0125</t>
  </si>
  <si>
    <t>SL0126</t>
  </si>
  <si>
    <t>2023-08-18</t>
  </si>
  <si>
    <t>SL0127</t>
  </si>
  <si>
    <t>2023-12-21</t>
  </si>
  <si>
    <t>SL0128</t>
  </si>
  <si>
    <t>SL0129</t>
  </si>
  <si>
    <t>2023-06-30</t>
  </si>
  <si>
    <t>SL0130</t>
  </si>
  <si>
    <t>SL0131</t>
  </si>
  <si>
    <t>2023-04-09</t>
  </si>
  <si>
    <t>SL0132</t>
  </si>
  <si>
    <t>SL0133</t>
  </si>
  <si>
    <t>2023-07-04</t>
  </si>
  <si>
    <t>SL0134</t>
  </si>
  <si>
    <t>SL0135</t>
  </si>
  <si>
    <t>2023-11-23</t>
  </si>
  <si>
    <t>SL0136</t>
  </si>
  <si>
    <t>SL0137</t>
  </si>
  <si>
    <t>2023-05-10</t>
  </si>
  <si>
    <t>SL0138</t>
  </si>
  <si>
    <t>2023-02-07</t>
  </si>
  <si>
    <t>SL0139</t>
  </si>
  <si>
    <t>2023-02-13</t>
  </si>
  <si>
    <t>SL0140</t>
  </si>
  <si>
    <t>SL0141</t>
  </si>
  <si>
    <t>SL0142</t>
  </si>
  <si>
    <t>2023-04-17</t>
  </si>
  <si>
    <t>SL0143</t>
  </si>
  <si>
    <t>2023-03-30</t>
  </si>
  <si>
    <t>SL0144</t>
  </si>
  <si>
    <t>2023-08-19</t>
  </si>
  <si>
    <t>SL0145</t>
  </si>
  <si>
    <t>2023-05-28</t>
  </si>
  <si>
    <t>SL0146</t>
  </si>
  <si>
    <t>2023-11-17</t>
  </si>
  <si>
    <t>SL0147</t>
  </si>
  <si>
    <t>2023-04-26</t>
  </si>
  <si>
    <t>SL0148</t>
  </si>
  <si>
    <t>2023-03-26</t>
  </si>
  <si>
    <t>SL0149</t>
  </si>
  <si>
    <t>SL0150</t>
  </si>
  <si>
    <t>SL0151</t>
  </si>
  <si>
    <t>SL0152</t>
  </si>
  <si>
    <t>2023-04-28</t>
  </si>
  <si>
    <t>SL0153</t>
  </si>
  <si>
    <t>2023-03-31</t>
  </si>
  <si>
    <t>SL0154</t>
  </si>
  <si>
    <t>2023-10-27</t>
  </si>
  <si>
    <t>SL0155</t>
  </si>
  <si>
    <t>2023-07-29</t>
  </si>
  <si>
    <t>SL0156</t>
  </si>
  <si>
    <t>2023-07-30</t>
  </si>
  <si>
    <t>SL0157</t>
  </si>
  <si>
    <t>SL0158</t>
  </si>
  <si>
    <t>2023-07-26</t>
  </si>
  <si>
    <t>SL0159</t>
  </si>
  <si>
    <t>2023-01-28</t>
  </si>
  <si>
    <t>SL0160</t>
  </si>
  <si>
    <t>SL0161</t>
  </si>
  <si>
    <t>2023-03-09</t>
  </si>
  <si>
    <t>SL0162</t>
  </si>
  <si>
    <t>2023-11-19</t>
  </si>
  <si>
    <t>SL0163</t>
  </si>
  <si>
    <t>2023-01-08</t>
  </si>
  <si>
    <t>SL0164</t>
  </si>
  <si>
    <t>2023-08-25</t>
  </si>
  <si>
    <t>SL0165</t>
  </si>
  <si>
    <t>SL0166</t>
  </si>
  <si>
    <t>SL0167</t>
  </si>
  <si>
    <t>2023-03-11</t>
  </si>
  <si>
    <t>SL0168</t>
  </si>
  <si>
    <t>2023-05-17</t>
  </si>
  <si>
    <t>SL0169</t>
  </si>
  <si>
    <t>2023-03-18</t>
  </si>
  <si>
    <t>SL0170</t>
  </si>
  <si>
    <t>2023-10-10</t>
  </si>
  <si>
    <t>SL0171</t>
  </si>
  <si>
    <t>SL0172</t>
  </si>
  <si>
    <t>2023-01-23</t>
  </si>
  <si>
    <t>SL0173</t>
  </si>
  <si>
    <t>2023-09-11</t>
  </si>
  <si>
    <t>SL0174</t>
  </si>
  <si>
    <t>2023-02-21</t>
  </si>
  <si>
    <t>SL0175</t>
  </si>
  <si>
    <t>2023-03-15</t>
  </si>
  <si>
    <t>SL0176</t>
  </si>
  <si>
    <t>2023-06-23</t>
  </si>
  <si>
    <t>SL0177</t>
  </si>
  <si>
    <t>2023-07-14</t>
  </si>
  <si>
    <t>SL0178</t>
  </si>
  <si>
    <t>2023-05-01</t>
  </si>
  <si>
    <t>SL0179</t>
  </si>
  <si>
    <t>2023-11-21</t>
  </si>
  <si>
    <t>SL0180</t>
  </si>
  <si>
    <t>2023-01-24</t>
  </si>
  <si>
    <t>SL0181</t>
  </si>
  <si>
    <t>2023-08-09</t>
  </si>
  <si>
    <t>SL0182</t>
  </si>
  <si>
    <t>2023-03-29</t>
  </si>
  <si>
    <t>SL0183</t>
  </si>
  <si>
    <t>2023-09-12</t>
  </si>
  <si>
    <t>SL0184</t>
  </si>
  <si>
    <t>2023-08-24</t>
  </si>
  <si>
    <t>SL0185</t>
  </si>
  <si>
    <t>2023-03-22</t>
  </si>
  <si>
    <t>SL0186</t>
  </si>
  <si>
    <t>SL0187</t>
  </si>
  <si>
    <t>2023-07-16</t>
  </si>
  <si>
    <t>SL0188</t>
  </si>
  <si>
    <t>2023-10-22</t>
  </si>
  <si>
    <t>SL0189</t>
  </si>
  <si>
    <t>SL0190</t>
  </si>
  <si>
    <t>SL0191</t>
  </si>
  <si>
    <t>2023-12-14</t>
  </si>
  <si>
    <t>SL0192</t>
  </si>
  <si>
    <t>2023-01-18</t>
  </si>
  <si>
    <t>SL0193</t>
  </si>
  <si>
    <t>2023-06-17</t>
  </si>
  <si>
    <t>SL0194</t>
  </si>
  <si>
    <t>2023-07-07</t>
  </si>
  <si>
    <t>SL0195</t>
  </si>
  <si>
    <t>2023-09-04</t>
  </si>
  <si>
    <t>SL0196</t>
  </si>
  <si>
    <t>2023-03-14</t>
  </si>
  <si>
    <t>SL0197</t>
  </si>
  <si>
    <t>SL0198</t>
  </si>
  <si>
    <t>SL0199</t>
  </si>
  <si>
    <t>2023-12-12</t>
  </si>
  <si>
    <t>SL0200</t>
  </si>
  <si>
    <t>GrossAmount</t>
  </si>
  <si>
    <t>DiscountAmt</t>
  </si>
  <si>
    <t>NetAmount</t>
  </si>
  <si>
    <t>Store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</si>
  <si>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</si>
  <si>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</si>
  <si>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</si>
  <si>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</si>
  <si>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</si>
  <si>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</si>
  <si>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</si>
  <si>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</si>
  <si>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</si>
  <si>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</si>
  <si>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</si>
  <si>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</si>
  <si>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MonthlyTarget</t>
  </si>
  <si>
    <t>OrderCategory</t>
  </si>
  <si>
    <t>PerformanceRating</t>
  </si>
  <si>
    <t>TotalRevenue</t>
  </si>
  <si>
    <t>TotalOrders</t>
  </si>
  <si>
    <t>AvgOrderValue</t>
  </si>
  <si>
    <t>HighValueOrders</t>
  </si>
  <si>
    <t>TotalDiscount</t>
  </si>
  <si>
    <t xml:space="preserve">Search City </t>
  </si>
  <si>
    <t>Total Revenue</t>
  </si>
  <si>
    <t>Row Labels</t>
  </si>
  <si>
    <t>Grand Total</t>
  </si>
  <si>
    <t>Column Labels</t>
  </si>
  <si>
    <t>Sum of NetAmount</t>
  </si>
  <si>
    <t>Revenue</t>
  </si>
  <si>
    <t>Average</t>
  </si>
  <si>
    <t>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</si>
</sst>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8" x14ac:knownFonts="1">
    <font>
      <sz val="11"/>
      <color theme="1"/>
      <name val="Calibri"/>
      <family val="2"/>
      <scheme val="minor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EEF2FF"/>
      </patternFill>
    </fill>
    <fill>
      <patternFill patternType="solid">
        <fgColor rgb="FFFFFFFF"/>
      </patternFill>
    </fill>
    <fill>
      <patternFill patternType="solid">
        <fgColor rgb="FF155724"/>
      </patternFill>
    </fill>
    <fill>
      <patternFill patternType="solid">
        <fgColor rgb="FF5C3D11"/>
      </patternFill>
    </fill>
    <fill>
      <patternFill patternType="solid">
        <fgColor rgb="FF7B2D8B"/>
      </patternFill>
    </fill>
    <fill>
      <patternFill patternType="solid">
        <fgColor rgb="FFC55A11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164" fontId="1" fillId="8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4" fontId="4" fillId="8" borderId="2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center" vertical="center"/>
    </xf>
    <xf numFmtId="3" fontId="6" fillId="4" borderId="1" xfId="0" applyNumberFormat="1" applyFont="1" applyFill="1" applyBorder="1" applyAlignment="1">
      <alignment horizontal="right" vertical="center"/>
    </xf>
    <xf numFmtId="14" fontId="1" fillId="8" borderId="1" xfId="0" applyNumberFormat="1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4" fillId="2" borderId="3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6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[ZestMart_RawData.xlsm]Pivot_Analysis!PivotTable1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000"/>
              <a:t>City-wise Monthly Revenue — ZestMart 2023</a:t>
            </a:r>
          </a:p>
        </c:rich>
      </c:tx>
      <c:layout>
        <c:manualLayout>
          <c:xMode val="edge"/>
          <c:yMode val="edge"/>
          <c:x val="0.46439413096618737"/>
          <c:y val="4.5275590551181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Pivot_Analysis!$B$1:$B$2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Pivot_Analysis!$A$3:$A$8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Chennai</c:v>
                </c:pt>
                <c:pt idx="3">
                  <c:v>Kolkata</c:v>
                </c:pt>
                <c:pt idx="4">
                  <c:v>Mumbai</c:v>
                </c:pt>
              </c:strCache>
            </c:strRef>
          </c:cat>
          <c:val>
            <c:numRef>
              <c:f>Pivot_Analysis!$B$3:$B$8</c:f>
              <c:numCache>
                <c:formatCode>"₹"\ #,##0.00</c:formatCode>
                <c:ptCount val="5"/>
                <c:pt idx="0">
                  <c:v>2312000</c:v>
                </c:pt>
                <c:pt idx="1">
                  <c:v>765000</c:v>
                </c:pt>
                <c:pt idx="2">
                  <c:v>2057000</c:v>
                </c:pt>
                <c:pt idx="3">
                  <c:v>331500</c:v>
                </c:pt>
                <c:pt idx="4">
                  <c:v>2091000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F1-4F15-BBAE-8444ED0EFA85}"/>
            </c:ext>
          </c:extLst>
        </c:ser>
        <c:ser>
          <c:idx val="1"/>
          <c:order val="1"/>
          <c:tx>
            <c:strRef>
              <c:f>Pivot_Analysis!$C$1:$C$2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Pivot_Analysis!$A$3:$A$8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Chennai</c:v>
                </c:pt>
                <c:pt idx="3">
                  <c:v>Kolkata</c:v>
                </c:pt>
                <c:pt idx="4">
                  <c:v>Mumbai</c:v>
                </c:pt>
              </c:strCache>
            </c:strRef>
          </c:cat>
          <c:val>
            <c:numRef>
              <c:f>Pivot_Analysis!$C$3:$C$8</c:f>
              <c:numCache>
                <c:formatCode>"₹"\ #,##0.00</c:formatCode>
                <c:ptCount val="5"/>
                <c:pt idx="0">
                  <c:v>748000</c:v>
                </c:pt>
                <c:pt idx="1">
                  <c:v>457600</c:v>
                </c:pt>
                <c:pt idx="2">
                  <c:v>2974400</c:v>
                </c:pt>
                <c:pt idx="3">
                  <c:v>1214400</c:v>
                </c:pt>
                <c:pt idx="4">
                  <c:v>2226400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F1-4F15-BBAE-8444ED0EFA85}"/>
            </c:ext>
          </c:extLst>
        </c:ser>
        <c:ser>
          <c:idx val="2"/>
          <c:order val="2"/>
          <c:tx>
            <c:strRef>
              <c:f>Pivot_Analysis!$D$1:$D$2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Pivot_Analysis!$A$3:$A$8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Chennai</c:v>
                </c:pt>
                <c:pt idx="3">
                  <c:v>Kolkata</c:v>
                </c:pt>
                <c:pt idx="4">
                  <c:v>Mumbai</c:v>
                </c:pt>
              </c:strCache>
            </c:strRef>
          </c:cat>
          <c:val>
            <c:numRef>
              <c:f>Pivot_Analysis!$D$3:$D$8</c:f>
              <c:numCache>
                <c:formatCode>"₹"\ #,##0.00</c:formatCode>
                <c:ptCount val="5"/>
                <c:pt idx="0">
                  <c:v>3477000</c:v>
                </c:pt>
                <c:pt idx="1">
                  <c:v>2185000</c:v>
                </c:pt>
                <c:pt idx="2">
                  <c:v>2603000</c:v>
                </c:pt>
                <c:pt idx="3">
                  <c:v>3125500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F1-4F15-BBAE-8444ED0EFA85}"/>
            </c:ext>
          </c:extLst>
        </c:ser>
        <c:ser>
          <c:idx val="3"/>
          <c:order val="3"/>
          <c:tx>
            <c:strRef>
              <c:f>Pivot_Analysis!$E$1:$E$2</c:f>
              <c:strCache>
                <c:ptCount val="1"/>
                <c:pt idx="0">
                  <c:v>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Pivot_Analysis!$A$3:$A$8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Chennai</c:v>
                </c:pt>
                <c:pt idx="3">
                  <c:v>Kolkata</c:v>
                </c:pt>
                <c:pt idx="4">
                  <c:v>Mumbai</c:v>
                </c:pt>
              </c:strCache>
            </c:strRef>
          </c:cat>
          <c:val>
            <c:numRef>
              <c:f>Pivot_Analysis!$E$3:$E$8</c:f>
              <c:numCache>
                <c:formatCode>"₹"\ #,##0.00</c:formatCode>
                <c:ptCount val="5"/>
                <c:pt idx="0">
                  <c:v>765000</c:v>
                </c:pt>
                <c:pt idx="1">
                  <c:v>1629000</c:v>
                </c:pt>
                <c:pt idx="2">
                  <c:v>1404000</c:v>
                </c:pt>
                <c:pt idx="3">
                  <c:v>3735000</c:v>
                </c:pt>
                <c:pt idx="4">
                  <c:v>2313000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F1-4F15-BBAE-8444ED0EFA85}"/>
            </c:ext>
          </c:extLst>
        </c:ser>
        <c:ser>
          <c:idx val="4"/>
          <c:order val="4"/>
          <c:tx>
            <c:strRef>
              <c:f>Pivot_Analysis!$F$1:$F$2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Pivot_Analysis!$A$3:$A$8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Chennai</c:v>
                </c:pt>
                <c:pt idx="3">
                  <c:v>Kolkata</c:v>
                </c:pt>
                <c:pt idx="4">
                  <c:v>Mumbai</c:v>
                </c:pt>
              </c:strCache>
            </c:strRef>
          </c:cat>
          <c:val>
            <c:numRef>
              <c:f>Pivot_Analysis!$F$3:$F$8</c:f>
              <c:numCache>
                <c:formatCode>"₹"\ #,##0.00</c:formatCode>
                <c:ptCount val="5"/>
                <c:pt idx="0">
                  <c:v>699200</c:v>
                </c:pt>
                <c:pt idx="1">
                  <c:v>441600</c:v>
                </c:pt>
                <c:pt idx="2">
                  <c:v>2594400</c:v>
                </c:pt>
                <c:pt idx="3">
                  <c:v>3302800</c:v>
                </c:pt>
                <c:pt idx="4">
                  <c:v>1030400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F1-4F15-BBAE-8444ED0EFA85}"/>
            </c:ext>
          </c:extLst>
        </c:ser>
        <c:ser>
          <c:idx val="5"/>
          <c:order val="5"/>
          <c:tx>
            <c:strRef>
              <c:f>Pivot_Analysis!$G$1:$G$2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Pivot_Analysis!$A$3:$A$8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Chennai</c:v>
                </c:pt>
                <c:pt idx="3">
                  <c:v>Kolkata</c:v>
                </c:pt>
                <c:pt idx="4">
                  <c:v>Mumbai</c:v>
                </c:pt>
              </c:strCache>
            </c:strRef>
          </c:cat>
          <c:val>
            <c:numRef>
              <c:f>Pivot_Analysis!$G$3:$G$8</c:f>
              <c:numCache>
                <c:formatCode>"₹"\ #,##0.00</c:formatCode>
                <c:ptCount val="5"/>
                <c:pt idx="0">
                  <c:v>3405600</c:v>
                </c:pt>
                <c:pt idx="1">
                  <c:v>668800</c:v>
                </c:pt>
                <c:pt idx="2">
                  <c:v>2032800</c:v>
                </c:pt>
                <c:pt idx="3">
                  <c:v>4197600</c:v>
                </c:pt>
                <c:pt idx="4">
                  <c:v>1531200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F1-4F15-BBAE-8444ED0EFA85}"/>
            </c:ext>
          </c:extLst>
        </c:ser>
        <c:ser>
          <c:idx val="6"/>
          <c:order val="6"/>
          <c:tx>
            <c:strRef>
              <c:f>Pivot_Analysis!$H$1:$H$2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Pivot_Analysis!$A$3:$A$8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Chennai</c:v>
                </c:pt>
                <c:pt idx="3">
                  <c:v>Kolkata</c:v>
                </c:pt>
                <c:pt idx="4">
                  <c:v>Mumbai</c:v>
                </c:pt>
              </c:strCache>
            </c:strRef>
          </c:cat>
          <c:val>
            <c:numRef>
              <c:f>Pivot_Analysis!$H$3:$H$8</c:f>
              <c:numCache>
                <c:formatCode>"₹"\ #,##0.00</c:formatCode>
                <c:ptCount val="5"/>
                <c:pt idx="0">
                  <c:v>2402400</c:v>
                </c:pt>
                <c:pt idx="1">
                  <c:v>3025700</c:v>
                </c:pt>
                <c:pt idx="2">
                  <c:v>975700</c:v>
                </c:pt>
                <c:pt idx="3">
                  <c:v>2492600</c:v>
                </c:pt>
                <c:pt idx="4">
                  <c:v>557600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F1-4F15-BBAE-8444ED0EFA85}"/>
            </c:ext>
          </c:extLst>
        </c:ser>
        <c:ser>
          <c:idx val="7"/>
          <c:order val="7"/>
          <c:tx>
            <c:strRef>
              <c:f>Pivot_Analysis!$I$1:$I$2</c:f>
              <c:strCache>
                <c:ptCount val="1"/>
                <c:pt idx="0">
                  <c:v>Aug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Pivot_Analysis!$A$3:$A$8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Chennai</c:v>
                </c:pt>
                <c:pt idx="3">
                  <c:v>Kolkata</c:v>
                </c:pt>
                <c:pt idx="4">
                  <c:v>Mumbai</c:v>
                </c:pt>
              </c:strCache>
            </c:strRef>
          </c:cat>
          <c:val>
            <c:numRef>
              <c:f>Pivot_Analysis!$I$3:$I$8</c:f>
              <c:numCache>
                <c:formatCode>"₹"\ #,##0.00</c:formatCode>
                <c:ptCount val="5"/>
                <c:pt idx="0">
                  <c:v>2414000</c:v>
                </c:pt>
                <c:pt idx="1">
                  <c:v>1921000</c:v>
                </c:pt>
                <c:pt idx="2">
                  <c:v>1249500</c:v>
                </c:pt>
                <c:pt idx="3">
                  <c:v>3332000</c:v>
                </c:pt>
                <c:pt idx="4">
                  <c:v>408000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F1-4F15-BBAE-8444ED0EFA85}"/>
            </c:ext>
          </c:extLst>
        </c:ser>
        <c:ser>
          <c:idx val="8"/>
          <c:order val="8"/>
          <c:tx>
            <c:strRef>
              <c:f>Pivot_Analysis!$J$1:$J$2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Pivot_Analysis!$A$3:$A$8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Chennai</c:v>
                </c:pt>
                <c:pt idx="3">
                  <c:v>Kolkata</c:v>
                </c:pt>
                <c:pt idx="4">
                  <c:v>Mumbai</c:v>
                </c:pt>
              </c:strCache>
            </c:strRef>
          </c:cat>
          <c:val>
            <c:numRef>
              <c:f>Pivot_Analysis!$J$3:$J$8</c:f>
              <c:numCache>
                <c:formatCode>"₹"\ #,##0.00</c:formatCode>
                <c:ptCount val="5"/>
                <c:pt idx="0">
                  <c:v>855000</c:v>
                </c:pt>
                <c:pt idx="1">
                  <c:v>2118500</c:v>
                </c:pt>
                <c:pt idx="3">
                  <c:v>1463000</c:v>
                </c:pt>
                <c:pt idx="4">
                  <c:v>2023500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F1-4F15-BBAE-8444ED0EFA85}"/>
            </c:ext>
          </c:extLst>
        </c:ser>
        <c:ser>
          <c:idx val="9"/>
          <c:order val="9"/>
          <c:tx>
            <c:strRef>
              <c:f>Pivot_Analysis!$K$1:$K$2</c:f>
              <c:strCache>
                <c:ptCount val="1"/>
                <c:pt idx="0">
                  <c:v>Oct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Pivot_Analysis!$A$3:$A$8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Chennai</c:v>
                </c:pt>
                <c:pt idx="3">
                  <c:v>Kolkata</c:v>
                </c:pt>
                <c:pt idx="4">
                  <c:v>Mumbai</c:v>
                </c:pt>
              </c:strCache>
            </c:strRef>
          </c:cat>
          <c:val>
            <c:numRef>
              <c:f>Pivot_Analysis!$K$3:$K$8</c:f>
              <c:numCache>
                <c:formatCode>"₹"\ #,##0.00</c:formatCode>
                <c:ptCount val="5"/>
                <c:pt idx="0">
                  <c:v>2134000</c:v>
                </c:pt>
                <c:pt idx="1">
                  <c:v>1815000</c:v>
                </c:pt>
                <c:pt idx="2">
                  <c:v>1452000</c:v>
                </c:pt>
                <c:pt idx="3">
                  <c:v>4664000</c:v>
                </c:pt>
                <c:pt idx="4">
                  <c:v>1705000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F1-4F15-BBAE-8444ED0EFA85}"/>
            </c:ext>
          </c:extLst>
        </c:ser>
        <c:ser>
          <c:idx val="10"/>
          <c:order val="10"/>
          <c:tx>
            <c:strRef>
              <c:f>Pivot_Analysis!$L$1:$L$2</c:f>
              <c:strCache>
                <c:ptCount val="1"/>
                <c:pt idx="0">
                  <c:v>Nov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Pivot_Analysis!$A$3:$A$8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Chennai</c:v>
                </c:pt>
                <c:pt idx="3">
                  <c:v>Kolkata</c:v>
                </c:pt>
                <c:pt idx="4">
                  <c:v>Mumbai</c:v>
                </c:pt>
              </c:strCache>
            </c:strRef>
          </c:cat>
          <c:val>
            <c:numRef>
              <c:f>Pivot_Analysis!$L$3:$L$8</c:f>
              <c:numCache>
                <c:formatCode>"₹"\ #,##0.00</c:formatCode>
                <c:ptCount val="5"/>
                <c:pt idx="0">
                  <c:v>1860000</c:v>
                </c:pt>
                <c:pt idx="1">
                  <c:v>3636000</c:v>
                </c:pt>
                <c:pt idx="2">
                  <c:v>2700000</c:v>
                </c:pt>
                <c:pt idx="3">
                  <c:v>2412000</c:v>
                </c:pt>
                <c:pt idx="4">
                  <c:v>2100000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FF1-4F15-BBAE-8444ED0EFA85}"/>
            </c:ext>
          </c:extLst>
        </c:ser>
        <c:ser>
          <c:idx val="11"/>
          <c:order val="11"/>
          <c:tx>
            <c:strRef>
              <c:f>Pivot_Analysis!$M$1:$M$2</c:f>
              <c:strCache>
                <c:ptCount val="1"/>
                <c:pt idx="0">
                  <c:v>Dec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Pivot_Analysis!$A$3:$A$8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Chennai</c:v>
                </c:pt>
                <c:pt idx="3">
                  <c:v>Kolkata</c:v>
                </c:pt>
                <c:pt idx="4">
                  <c:v>Mumbai</c:v>
                </c:pt>
              </c:strCache>
            </c:strRef>
          </c:cat>
          <c:val>
            <c:numRef>
              <c:f>Pivot_Analysis!$M$3:$M$8</c:f>
              <c:numCache>
                <c:formatCode>"₹"\ #,##0.00</c:formatCode>
                <c:ptCount val="5"/>
                <c:pt idx="0">
                  <c:v>4238000</c:v>
                </c:pt>
                <c:pt idx="1">
                  <c:v>988000</c:v>
                </c:pt>
                <c:pt idx="2">
                  <c:v>2210000</c:v>
                </c:pt>
                <c:pt idx="3">
                  <c:v>3055000</c:v>
                </c:pt>
                <c:pt idx="4">
                  <c:v>2041000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FF1-4F15-BBAE-8444ED0EF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84154831"/>
        <c:axId val="1884155311"/>
      </c:barChart>
      <c:catAx>
        <c:axId val="18841548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155311"/>
        <c:crosses val="autoZero"/>
        <c:auto val="1"/>
        <c:lblAlgn val="ctr"/>
        <c:lblOffset val="100"/>
        <c:noMultiLvlLbl val="0"/>
      </c:catAx>
      <c:valAx>
        <c:axId val="1884155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154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[ZestMart_RawData.xlsm]Pivot_Analysis!PivotTable2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Products by Revenue — ZestMart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Pivot_Analysis!$B$27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Pivot_Analysis!$A$28:$A$38</c:f>
              <c:strCache>
                <c:ptCount val="10"/>
                <c:pt idx="0">
                  <c:v>Amul Butter 500g</c:v>
                </c:pt>
                <c:pt idx="1">
                  <c:v>Basmati Rice 5kg</c:v>
                </c:pt>
                <c:pt idx="2">
                  <c:v>boAt Rockerz 450</c:v>
                </c:pt>
                <c:pt idx="3">
                  <c:v>Lakme Lipstick</c:v>
                </c:pt>
                <c:pt idx="4">
                  <c:v>Levis Jeans</c:v>
                </c:pt>
                <c:pt idx="5">
                  <c:v>Milton Steel Bottle 1L</c:v>
                </c:pt>
                <c:pt idx="6">
                  <c:v>Nike T-Shirt</c:v>
                </c:pt>
                <c:pt idx="7">
                  <c:v>Prestige Cooker 5L</c:v>
                </c:pt>
                <c:pt idx="8">
                  <c:v>Samsung 43 Smart TV</c:v>
                </c:pt>
                <c:pt idx="9">
                  <c:v>Woodland Shoes</c:v>
                </c:pt>
              </c:strCache>
            </c:strRef>
          </c:cat>
          <c:val>
            <c:numRef>
              <c:f>Pivot_Analysis!$B$28:$B$38</c:f>
              <c:numCache>
                <c:formatCode>"₹"\ #,##0.00</c:formatCode>
                <c:ptCount val="10"/>
                <c:pt idx="0">
                  <c:v>13777.5</c:v>
                </c:pt>
                <c:pt idx="1">
                  <c:v>15856</c:v>
                </c:pt>
                <c:pt idx="2">
                  <c:v>73226.149999999994</c:v>
                </c:pt>
                <c:pt idx="3">
                  <c:v>19390</c:v>
                </c:pt>
                <c:pt idx="4">
                  <c:v>100584.74999999999</c:v>
                </c:pt>
                <c:pt idx="5">
                  <c:v>39294.399999999994</c:v>
                </c:pt>
                <c:pt idx="6">
                  <c:v>91579.5</c:v>
                </c:pt>
                <c:pt idx="7">
                  <c:v>120250</c:v>
                </c:pt>
                <c:pt idx="8">
                  <c:v>1092266.9000000001</c:v>
                </c:pt>
                <c:pt idx="9">
                  <c:v>163228.35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0C-44C5-9CE6-1F2B57FE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84200911"/>
        <c:axId val="1884185071"/>
      </c:barChart>
      <c:catAx>
        <c:axId val="18842009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185071"/>
        <c:crosses val="autoZero"/>
        <c:auto val="1"/>
        <c:lblAlgn val="ctr"/>
        <c:lblOffset val="100"/>
        <c:noMultiLvlLbl val="0"/>
      </c:catAx>
      <c:valAx>
        <c:axId val="1884185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20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[ZestMart_RawData.xlsm]Pivot_Analysis!PivotTable4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Category-wise Performance — ZestMart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Pivot_Analysis!$B$57:$B$58</c:f>
              <c:strCache>
                <c:ptCount val="1"/>
                <c:pt idx="0">
                  <c:v>Average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BC-49DA-89FB-85ED051A25F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BC-49DA-89FB-85ED051A25F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BC-49DA-89FB-85ED051A25F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FBC-49DA-89FB-85ED051A25F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FBC-49DA-89FB-85ED051A25F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FBC-49DA-89FB-85ED051A25F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FBC-49DA-89FB-85ED051A25FE}"/>
              </c:ext>
            </c:extLst>
          </c:dPt>
          <c:cat>
            <c:strRef>
              <c:f>Pivot_Analysis!$A$59:$A$66</c:f>
              <c:strCache>
                <c:ptCount val="7"/>
                <c:pt idx="0">
                  <c:v>Apparel</c:v>
                </c:pt>
                <c:pt idx="1">
                  <c:v>Beauty</c:v>
                </c:pt>
                <c:pt idx="2">
                  <c:v>Dairy</c:v>
                </c:pt>
                <c:pt idx="3">
                  <c:v>Electronics</c:v>
                </c:pt>
                <c:pt idx="4">
                  <c:v>Grocery</c:v>
                </c:pt>
                <c:pt idx="5">
                  <c:v>Home Care</c:v>
                </c:pt>
                <c:pt idx="6">
                  <c:v>Kitchenware</c:v>
                </c:pt>
              </c:strCache>
            </c:strRef>
          </c:cat>
          <c:val>
            <c:numRef>
              <c:f>Pivot_Analysis!$B$59:$B$66</c:f>
              <c:numCache>
                <c:formatCode>"₹"\ #,##0.00</c:formatCode>
                <c:ptCount val="7"/>
                <c:pt idx="3">
                  <c:v>219443.35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13-4928-81F0-33DE07CDB7E8}"/>
            </c:ext>
          </c:extLst>
        </c:ser>
        <c:ser>
          <c:idx val="1"/>
          <c:order val="1"/>
          <c:tx>
            <c:strRef>
              <c:f>Pivot_Analysis!$C$57:$C$58</c:f>
              <c:strCache>
                <c:ptCount val="1"/>
                <c:pt idx="0">
                  <c:v>Poor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FBC-49DA-89FB-85ED051A25F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FBC-49DA-89FB-85ED051A25F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FBC-49DA-89FB-85ED051A25F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FBC-49DA-89FB-85ED051A25F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FBC-49DA-89FB-85ED051A25F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FBC-49DA-89FB-85ED051A25F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FBC-49DA-89FB-85ED051A25FE}"/>
              </c:ext>
            </c:extLst>
          </c:dPt>
          <c:cat>
            <c:strRef>
              <c:f>Pivot_Analysis!$A$59:$A$66</c:f>
              <c:strCache>
                <c:ptCount val="7"/>
                <c:pt idx="0">
                  <c:v>Apparel</c:v>
                </c:pt>
                <c:pt idx="1">
                  <c:v>Beauty</c:v>
                </c:pt>
                <c:pt idx="2">
                  <c:v>Dairy</c:v>
                </c:pt>
                <c:pt idx="3">
                  <c:v>Electronics</c:v>
                </c:pt>
                <c:pt idx="4">
                  <c:v>Grocery</c:v>
                </c:pt>
                <c:pt idx="5">
                  <c:v>Home Care</c:v>
                </c:pt>
                <c:pt idx="6">
                  <c:v>Kitchenware</c:v>
                </c:pt>
              </c:strCache>
            </c:strRef>
          </c:cat>
          <c:val>
            <c:numRef>
              <c:f>Pivot_Analysis!$C$59:$C$66</c:f>
              <c:numCache>
                <c:formatCode>"₹"\ #,##0.00</c:formatCode>
                <c:ptCount val="7"/>
                <c:pt idx="0">
                  <c:v>355392.60000000003</c:v>
                </c:pt>
                <c:pt idx="1">
                  <c:v>25429.8</c:v>
                </c:pt>
                <c:pt idx="2">
                  <c:v>17680.7</c:v>
                </c:pt>
                <c:pt idx="3">
                  <c:v>954492.75000000012</c:v>
                </c:pt>
                <c:pt idx="4">
                  <c:v>39541.75</c:v>
                </c:pt>
                <c:pt idx="5">
                  <c:v>22733.25</c:v>
                </c:pt>
                <c:pt idx="6">
                  <c:v>159544.40000000002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13-4928-81F0-33DE07CDB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68580</xdr:rowOff>
    </xdr:from>
    <xdr:to>
      <xdr:col>13</xdr:col>
      <xdr:colOff>1059180</xdr:colOff>
      <xdr:row>23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7B465C-522B-E30E-7F4B-133EF4BED0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38</xdr:row>
      <xdr:rowOff>106680</xdr:rowOff>
    </xdr:from>
    <xdr:to>
      <xdr:col>6</xdr:col>
      <xdr:colOff>853440</xdr:colOff>
      <xdr:row>53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FB9EE6-1AEF-7250-5CA7-FEA199ADC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7620</xdr:colOff>
      <xdr:row>66</xdr:row>
      <xdr:rowOff>137160</xdr:rowOff>
    </xdr:from>
    <xdr:to>
      <xdr:col>4</xdr:col>
      <xdr:colOff>495300</xdr:colOff>
      <xdr:row>81</xdr:row>
      <xdr:rowOff>137160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448E11-9807-8F5D-8A3E-57E8DBDDAD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68580</xdr:rowOff>
        </xdr:from>
        <xdr:to>
          <xdr:col>10</xdr:col>
          <xdr:colOff>533400</xdr:colOff>
          <xdr:row>4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9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 Refresh Pivots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160020</xdr:colOff>
          <xdr:row>6</xdr:row>
          <xdr:rowOff>167640</xdr:rowOff>
        </xdr:from>
        <xdr:to>
          <xdr:col>11</xdr:col>
          <xdr:colOff>30480</xdr:colOff>
          <xdr:row>10</xdr:row>
          <xdr:rowOff>99060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9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🎨 Highlight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236220</xdr:colOff>
          <xdr:row>12</xdr:row>
          <xdr:rowOff>160020</xdr:rowOff>
        </xdr:from>
        <xdr:to>
          <xdr:col>10</xdr:col>
          <xdr:colOff>601980</xdr:colOff>
          <xdr:row>16</xdr:row>
          <xdr:rowOff>114300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9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Export PDF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HAN KUMAR" refreshedDate="46170.917148148146" createdVersion="8" refreshedVersion="8" minRefreshableVersion="3" recordCount="200" xr:uid="{67EA273F-6734-4763-A395-FF5263BEA206}">
  <cacheSource type="worksheet">
    <worksheetSource ref="A1:R201" sheet="Sales_Enriched"/>
  </cacheSource>
  <cacheFields count="19">
    <cacheField name="SaleID" numFmtId="0">
      <sharedItems/>
    </cacheField>
    <cacheField name="Date" numFmtId="14">
      <sharedItems containsSemiMixedTypes="0" containsNonDate="0" containsDate="1" containsString="0" minDate="2023-01-01T00:00:00" maxDate="2023-12-29T00:00:00" count="157">
        <d v="2023-11-24T00:00:00"/>
        <d v="2023-03-13T00:00:00"/>
        <d v="2023-01-17T00:00:00"/>
        <d v="2023-11-05T00:00:00"/>
        <d v="2023-04-23T00:00:00"/>
        <d v="2023-12-24T00:00:00"/>
        <d v="2023-06-22T00:00:00"/>
        <d v="2023-06-26T00:00:00"/>
        <d v="2023-03-05T00:00:00"/>
        <d v="2023-10-23T00:00:00"/>
        <d v="2023-02-10T00:00:00"/>
        <d v="2023-11-22T00:00:00"/>
        <d v="2023-12-10T00:00:00"/>
        <d v="2023-05-06T00:00:00"/>
        <d v="2023-07-25T00:00:00"/>
        <d v="2023-04-19T00:00:00"/>
        <d v="2023-10-26T00:00:00"/>
        <d v="2023-09-10T00:00:00"/>
        <d v="2023-12-15T00:00:00"/>
        <d v="2023-11-02T00:00:00"/>
        <d v="2023-05-31T00:00:00"/>
        <d v="2023-09-14T00:00:00"/>
        <d v="2023-11-08T00:00:00"/>
        <d v="2023-09-29T00:00:00"/>
        <d v="2023-02-27T00:00:00"/>
        <d v="2023-10-18T00:00:00"/>
        <d v="2023-03-06T00:00:00"/>
        <d v="2023-09-28T00:00:00"/>
        <d v="2023-06-09T00:00:00"/>
        <d v="2023-03-03T00:00:00"/>
        <d v="2023-10-29T00:00:00"/>
        <d v="2023-02-06T00:00:00"/>
        <d v="2023-10-04T00:00:00"/>
        <d v="2023-08-31T00:00:00"/>
        <d v="2023-07-01T00:00:00"/>
        <d v="2023-02-01T00:00:00"/>
        <d v="2023-04-08T00:00:00"/>
        <d v="2023-05-23T00:00:00"/>
        <d v="2023-02-20T00:00:00"/>
        <d v="2023-03-27T00:00:00"/>
        <d v="2023-01-31T00:00:00"/>
        <d v="2023-08-21T00:00:00"/>
        <d v="2023-09-15T00:00:00"/>
        <d v="2023-04-06T00:00:00"/>
        <d v="2023-11-14T00:00:00"/>
        <d v="2023-06-11T00:00:00"/>
        <d v="2023-07-22T00:00:00"/>
        <d v="2023-01-05T00:00:00"/>
        <d v="2023-10-03T00:00:00"/>
        <d v="2023-02-05T00:00:00"/>
        <d v="2023-10-06T00:00:00"/>
        <d v="2023-06-03T00:00:00"/>
        <d v="2023-10-11T00:00:00"/>
        <d v="2023-06-25T00:00:00"/>
        <d v="2023-01-27T00:00:00"/>
        <d v="2023-06-20T00:00:00"/>
        <d v="2023-12-28T00:00:00"/>
        <d v="2023-12-20T00:00:00"/>
        <d v="2023-03-17T00:00:00"/>
        <d v="2023-01-21T00:00:00"/>
        <d v="2023-10-14T00:00:00"/>
        <d v="2023-04-01T00:00:00"/>
        <d v="2023-12-09T00:00:00"/>
        <d v="2023-01-20T00:00:00"/>
        <d v="2023-06-06T00:00:00"/>
        <d v="2023-06-18T00:00:00"/>
        <d v="2023-07-24T00:00:00"/>
        <d v="2023-04-02T00:00:00"/>
        <d v="2023-07-17T00:00:00"/>
        <d v="2023-01-01T00:00:00"/>
        <d v="2023-09-17T00:00:00"/>
        <d v="2023-11-12T00:00:00"/>
        <d v="2023-06-05T00:00:00"/>
        <d v="2023-08-27T00:00:00"/>
        <d v="2023-03-28T00:00:00"/>
        <d v="2023-02-17T00:00:00"/>
        <d v="2023-01-13T00:00:00"/>
        <d v="2023-08-22T00:00:00"/>
        <d v="2023-05-08T00:00:00"/>
        <d v="2023-08-07T00:00:00"/>
        <d v="2023-05-13T00:00:00"/>
        <d v="2023-05-21T00:00:00"/>
        <d v="2023-06-21T00:00:00"/>
        <d v="2023-04-29T00:00:00"/>
        <d v="2023-07-28T00:00:00"/>
        <d v="2023-04-16T00:00:00"/>
        <d v="2023-09-02T00:00:00"/>
        <d v="2023-05-20T00:00:00"/>
        <d v="2023-01-14T00:00:00"/>
        <d v="2023-11-26T00:00:00"/>
        <d v="2023-05-14T00:00:00"/>
        <d v="2023-08-29T00:00:00"/>
        <d v="2023-11-29T00:00:00"/>
        <d v="2023-01-11T00:00:00"/>
        <d v="2023-07-08T00:00:00"/>
        <d v="2023-07-23T00:00:00"/>
        <d v="2023-12-23T00:00:00"/>
        <d v="2023-06-27T00:00:00"/>
        <d v="2023-11-28T00:00:00"/>
        <d v="2023-08-10T00:00:00"/>
        <d v="2023-09-25T00:00:00"/>
        <d v="2023-08-12T00:00:00"/>
        <d v="2023-10-12T00:00:00"/>
        <d v="2023-08-18T00:00:00"/>
        <d v="2023-12-21T00:00:00"/>
        <d v="2023-06-30T00:00:00"/>
        <d v="2023-04-09T00:00:00"/>
        <d v="2023-07-04T00:00:00"/>
        <d v="2023-11-23T00:00:00"/>
        <d v="2023-05-10T00:00:00"/>
        <d v="2023-02-07T00:00:00"/>
        <d v="2023-02-13T00:00:00"/>
        <d v="2023-04-17T00:00:00"/>
        <d v="2023-03-30T00:00:00"/>
        <d v="2023-08-19T00:00:00"/>
        <d v="2023-05-28T00:00:00"/>
        <d v="2023-11-17T00:00:00"/>
        <d v="2023-04-26T00:00:00"/>
        <d v="2023-03-26T00:00:00"/>
        <d v="2023-04-28T00:00:00"/>
        <d v="2023-03-31T00:00:00"/>
        <d v="2023-10-27T00:00:00"/>
        <d v="2023-07-29T00:00:00"/>
        <d v="2023-07-30T00:00:00"/>
        <d v="2023-07-26T00:00:00"/>
        <d v="2023-01-28T00:00:00"/>
        <d v="2023-03-09T00:00:00"/>
        <d v="2023-11-19T00:00:00"/>
        <d v="2023-01-08T00:00:00"/>
        <d v="2023-08-25T00:00:00"/>
        <d v="2023-03-11T00:00:00"/>
        <d v="2023-05-17T00:00:00"/>
        <d v="2023-03-18T00:00:00"/>
        <d v="2023-10-10T00:00:00"/>
        <d v="2023-01-23T00:00:00"/>
        <d v="2023-09-11T00:00:00"/>
        <d v="2023-02-21T00:00:00"/>
        <d v="2023-03-15T00:00:00"/>
        <d v="2023-06-23T00:00:00"/>
        <d v="2023-07-14T00:00:00"/>
        <d v="2023-05-01T00:00:00"/>
        <d v="2023-11-21T00:00:00"/>
        <d v="2023-01-24T00:00:00"/>
        <d v="2023-08-09T00:00:00"/>
        <d v="2023-03-29T00:00:00"/>
        <d v="2023-09-12T00:00:00"/>
        <d v="2023-08-24T00:00:00"/>
        <d v="2023-03-22T00:00:00"/>
        <d v="2023-07-16T00:00:00"/>
        <d v="2023-10-22T00:00:00"/>
        <d v="2023-12-14T00:00:00"/>
        <d v="2023-01-18T00:00:00"/>
        <d v="2023-06-17T00:00:00"/>
        <d v="2023-07-07T00:00:00"/>
        <d v="2023-09-04T00:00:00"/>
        <d v="2023-03-14T00:00:00"/>
        <d v="2023-12-12T00:00:00"/>
      </sharedItems>
      <fieldGroup par="18"/>
    </cacheField>
    <cacheField name="ProductID" numFmtId="0">
      <sharedItems/>
    </cacheField>
    <cacheField name="CustomerID" numFmtId="0">
      <sharedItems/>
    </cacheField>
    <cacheField name="StoreID" numFmtId="0">
      <sharedItems/>
    </cacheField>
    <cacheField name="Quantity" numFmtId="0">
      <sharedItems containsSemiMixedTypes="0" containsString="0" containsNumber="1" containsInteger="1" minValue="1" maxValue="10"/>
    </cacheField>
    <cacheField name="DiscountPct" numFmtId="0">
      <sharedItems containsSemiMixedTypes="0" containsString="0" containsNumber="1" containsInteger="1" minValue="0" maxValue="20"/>
    </cacheField>
    <cacheField name="ProductName" numFmtId="0">
      <sharedItems count="20">
        <s v="Amul Butter 500g"/>
        <s v="Basmati Rice 5kg"/>
        <s v="Prestige Cooker 5L"/>
        <s v="Nike T-Shirt"/>
        <s v="Woodland Shoes"/>
        <s v="Levis Jeans"/>
        <s v="boAt Rockerz 450"/>
        <s v="Philips LED Bulb 9W"/>
        <s v="Dove Shampoo 340ml"/>
        <s v="Surf Excel 1kg"/>
        <s v="Samsung 43 Smart TV"/>
        <s v="Lakme Lipstick"/>
        <s v="Milton Steel Bottle 1L"/>
        <s v="Sunflower Oil 1L"/>
        <s v="Amul Gold Milk 1L"/>
        <s v="Maggi Noodles 12pk"/>
        <s v="Toor Dal 1kg"/>
        <s v="Parle-G Biscuits 1kg"/>
        <s v="Dettol Handwash 250ml"/>
        <s v="Colgate Toothpaste 200g"/>
      </sharedItems>
    </cacheField>
    <cacheField name="Category" numFmtId="0">
      <sharedItems count="7">
        <s v="Dairy"/>
        <s v="Grocery"/>
        <s v="Kitchenware"/>
        <s v="Apparel"/>
        <s v="Electronics"/>
        <s v="Beauty"/>
        <s v="Home Care"/>
      </sharedItems>
    </cacheField>
    <cacheField name="UnitPrice" numFmtId="164">
      <sharedItems containsSemiMixedTypes="0" containsString="0" containsNumber="1" containsInteger="1" minValue="68" maxValue="32999"/>
    </cacheField>
    <cacheField name="CustomerName" numFmtId="0">
      <sharedItems/>
    </cacheField>
    <cacheField name="City" numFmtId="0">
      <sharedItems count="5">
        <s v="Delhi"/>
        <s v="Bangalore"/>
        <s v="Mumbai"/>
        <s v="Kolkata"/>
        <s v="Chennai"/>
      </sharedItems>
    </cacheField>
    <cacheField name="GrossAmount" numFmtId="164">
      <sharedItems containsSemiMixedTypes="0" containsString="0" containsNumber="1" containsInteger="1" minValue="95" maxValue="296991"/>
    </cacheField>
    <cacheField name="DiscountAmt" numFmtId="164">
      <sharedItems containsSemiMixedTypes="0" containsString="0" containsNumber="1" minValue="0" maxValue="32999"/>
    </cacheField>
    <cacheField name="NetAmount" numFmtId="164">
      <sharedItems containsSemiMixedTypes="0" containsString="0" containsNumber="1" minValue="76" maxValue="296991"/>
    </cacheField>
    <cacheField name="MonthlyTarget" numFmtId="0">
      <sharedItems containsSemiMixedTypes="0" containsString="0" containsNumber="1" containsInteger="1" minValue="319800" maxValue="1196000"/>
    </cacheField>
    <cacheField name="OrderCategory" numFmtId="0">
      <sharedItems/>
    </cacheField>
    <cacheField name="PerformanceRating" numFmtId="0">
      <sharedItems count="2">
        <s v="Poor"/>
        <s v="Average"/>
      </sharedItems>
    </cacheField>
    <cacheField name="Months (Date)" numFmtId="0" databaseField="0">
      <fieldGroup base="1">
        <rangePr groupBy="months" startDate="2023-01-01T00:00:00" endDate="2023-12-29T00:00:00"/>
        <groupItems count="14">
          <s v="&lt;01-01-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9-12-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s v="SL0001"/>
    <x v="0"/>
    <s v="P004"/>
    <s v="C001"/>
    <s v="S05"/>
    <n v="4"/>
    <n v="5"/>
    <x v="0"/>
    <x v="0"/>
    <n v="275"/>
    <s v="Aarav Sharma"/>
    <x v="0"/>
    <n v="1100"/>
    <n v="55"/>
    <n v="1045"/>
    <n v="912000"/>
    <s v="Low Discount"/>
    <x v="0"/>
  </r>
  <r>
    <s v="SL0002"/>
    <x v="1"/>
    <s v="P004"/>
    <s v="C018"/>
    <s v="S02"/>
    <n v="10"/>
    <n v="10"/>
    <x v="0"/>
    <x v="0"/>
    <n v="275"/>
    <s v="Sudha Sharma"/>
    <x v="1"/>
    <n v="2750"/>
    <n v="275"/>
    <n v="2475"/>
    <n v="494000"/>
    <s v="Low Discount"/>
    <x v="0"/>
  </r>
  <r>
    <s v="SL0003"/>
    <x v="2"/>
    <s v="P001"/>
    <s v="C003"/>
    <s v="S04"/>
    <n v="4"/>
    <n v="20"/>
    <x v="1"/>
    <x v="1"/>
    <n v="320"/>
    <s v="Vikram Nair"/>
    <x v="1"/>
    <n v="1280"/>
    <n v="256"/>
    <n v="1024"/>
    <n v="408000"/>
    <s v="High Discount"/>
    <x v="0"/>
  </r>
  <r>
    <s v="SL0004"/>
    <x v="3"/>
    <s v="P001"/>
    <s v="C018"/>
    <s v="S04"/>
    <n v="9"/>
    <n v="10"/>
    <x v="1"/>
    <x v="1"/>
    <n v="320"/>
    <s v="Sudha Sharma"/>
    <x v="1"/>
    <n v="2880"/>
    <n v="288"/>
    <n v="2592"/>
    <n v="576000"/>
    <s v="Low Discount"/>
    <x v="0"/>
  </r>
  <r>
    <s v="SL0005"/>
    <x v="4"/>
    <s v="P015"/>
    <s v="C019"/>
    <s v="S05"/>
    <n v="1"/>
    <n v="0"/>
    <x v="2"/>
    <x v="2"/>
    <n v="1850"/>
    <s v="Kiran Reddy"/>
    <x v="2"/>
    <n v="1850"/>
    <n v="0"/>
    <n v="1850"/>
    <n v="684000"/>
    <s v="No Discount"/>
    <x v="0"/>
  </r>
  <r>
    <s v="SL0006"/>
    <x v="5"/>
    <s v="P014"/>
    <s v="C011"/>
    <s v="S05"/>
    <n v="3"/>
    <n v="5"/>
    <x v="3"/>
    <x v="3"/>
    <n v="1299"/>
    <s v="Manish Joshi"/>
    <x v="0"/>
    <n v="3897"/>
    <n v="194.85000000000002"/>
    <n v="3702.15"/>
    <n v="988000"/>
    <s v="Low Discount"/>
    <x v="0"/>
  </r>
  <r>
    <s v="SL0007"/>
    <x v="6"/>
    <s v="P004"/>
    <s v="C003"/>
    <s v="S07"/>
    <n v="2"/>
    <n v="10"/>
    <x v="0"/>
    <x v="0"/>
    <n v="275"/>
    <s v="Vikram Nair"/>
    <x v="1"/>
    <n v="550"/>
    <n v="55"/>
    <n v="495"/>
    <n v="598400"/>
    <s v="Low Discount"/>
    <x v="0"/>
  </r>
  <r>
    <s v="SL0008"/>
    <x v="7"/>
    <s v="P020"/>
    <s v="C009"/>
    <s v="S01"/>
    <n v="8"/>
    <n v="20"/>
    <x v="4"/>
    <x v="3"/>
    <n v="3499"/>
    <s v="Suresh Ghosh"/>
    <x v="3"/>
    <n v="27992"/>
    <n v="5598.4000000000005"/>
    <n v="22393.599999999999"/>
    <n v="748000"/>
    <s v="High Discount"/>
    <x v="0"/>
  </r>
  <r>
    <s v="SL0009"/>
    <x v="8"/>
    <s v="P013"/>
    <s v="C003"/>
    <s v="S09"/>
    <n v="5"/>
    <n v="10"/>
    <x v="5"/>
    <x v="3"/>
    <n v="2499"/>
    <s v="Vikram Nair"/>
    <x v="1"/>
    <n v="12495"/>
    <n v="1249.5"/>
    <n v="11245.5"/>
    <n v="674500"/>
    <s v="Low Discount"/>
    <x v="0"/>
  </r>
  <r>
    <s v="SL0010"/>
    <x v="9"/>
    <s v="P007"/>
    <s v="C003"/>
    <s v="S01"/>
    <n v="4"/>
    <n v="5"/>
    <x v="6"/>
    <x v="4"/>
    <n v="1499"/>
    <s v="Vikram Nair"/>
    <x v="1"/>
    <n v="5996"/>
    <n v="299.8"/>
    <n v="5696.2"/>
    <n v="935000"/>
    <s v="Low Discount"/>
    <x v="0"/>
  </r>
  <r>
    <s v="SL0011"/>
    <x v="10"/>
    <s v="P008"/>
    <s v="C004"/>
    <s v="S07"/>
    <n v="5"/>
    <n v="15"/>
    <x v="7"/>
    <x v="4"/>
    <n v="129"/>
    <s v="Sunita Rao"/>
    <x v="4"/>
    <n v="645"/>
    <n v="96.75"/>
    <n v="548.25"/>
    <n v="598400"/>
    <s v="High Discount"/>
    <x v="0"/>
  </r>
  <r>
    <s v="SL0012"/>
    <x v="11"/>
    <s v="P012"/>
    <s v="C006"/>
    <s v="S06"/>
    <n v="6"/>
    <n v="5"/>
    <x v="8"/>
    <x v="5"/>
    <n v="299"/>
    <s v="Deepa Menon"/>
    <x v="2"/>
    <n v="1794"/>
    <n v="89.7"/>
    <n v="1704.3"/>
    <n v="504000"/>
    <s v="Low Discount"/>
    <x v="0"/>
  </r>
  <r>
    <s v="SL0013"/>
    <x v="12"/>
    <s v="P009"/>
    <s v="C003"/>
    <s v="S10"/>
    <n v="3"/>
    <n v="20"/>
    <x v="9"/>
    <x v="6"/>
    <n v="210"/>
    <s v="Vikram Nair"/>
    <x v="1"/>
    <n v="630"/>
    <n v="126"/>
    <n v="504"/>
    <n v="507000"/>
    <s v="High Discount"/>
    <x v="0"/>
  </r>
  <r>
    <s v="SL0014"/>
    <x v="13"/>
    <s v="P006"/>
    <s v="C015"/>
    <s v="S07"/>
    <n v="5"/>
    <n v="20"/>
    <x v="10"/>
    <x v="4"/>
    <n v="32999"/>
    <s v="Arun Banerjee"/>
    <x v="3"/>
    <n v="164995"/>
    <n v="32999"/>
    <n v="131996"/>
    <n v="625600"/>
    <s v="High Discount"/>
    <x v="0"/>
  </r>
  <r>
    <s v="SL0015"/>
    <x v="4"/>
    <s v="P011"/>
    <s v="C002"/>
    <s v="S04"/>
    <n v="1"/>
    <n v="10"/>
    <x v="11"/>
    <x v="5"/>
    <n v="350"/>
    <s v="Priya Singh"/>
    <x v="2"/>
    <n v="350"/>
    <n v="35"/>
    <n v="315"/>
    <n v="432000"/>
    <s v="Low Discount"/>
    <x v="0"/>
  </r>
  <r>
    <s v="SL0016"/>
    <x v="14"/>
    <s v="P009"/>
    <s v="C003"/>
    <s v="S04"/>
    <n v="10"/>
    <n v="10"/>
    <x v="9"/>
    <x v="6"/>
    <n v="210"/>
    <s v="Vikram Nair"/>
    <x v="1"/>
    <n v="2100"/>
    <n v="210"/>
    <n v="1890"/>
    <n v="393600"/>
    <s v="Low Discount"/>
    <x v="0"/>
  </r>
  <r>
    <s v="SL0017"/>
    <x v="15"/>
    <s v="P016"/>
    <s v="C013"/>
    <s v="S08"/>
    <n v="3"/>
    <n v="5"/>
    <x v="12"/>
    <x v="2"/>
    <n v="599"/>
    <s v="Sanjay Iyer"/>
    <x v="4"/>
    <n v="1797"/>
    <n v="89.850000000000009"/>
    <n v="1707.15"/>
    <n v="369000"/>
    <s v="Low Discount"/>
    <x v="0"/>
  </r>
  <r>
    <s v="SL0018"/>
    <x v="1"/>
    <s v="P008"/>
    <s v="C018"/>
    <s v="S09"/>
    <n v="5"/>
    <n v="10"/>
    <x v="7"/>
    <x v="4"/>
    <n v="129"/>
    <s v="Sudha Sharma"/>
    <x v="1"/>
    <n v="645"/>
    <n v="64.5"/>
    <n v="580.5"/>
    <n v="674500"/>
    <s v="Low Discount"/>
    <x v="0"/>
  </r>
  <r>
    <s v="SL0019"/>
    <x v="16"/>
    <s v="P013"/>
    <s v="C012"/>
    <s v="S04"/>
    <n v="3"/>
    <n v="20"/>
    <x v="5"/>
    <x v="3"/>
    <n v="2499"/>
    <s v="Anita Kapoor"/>
    <x v="2"/>
    <n v="7497"/>
    <n v="1499.4"/>
    <n v="5997.6"/>
    <n v="528000"/>
    <s v="High Discount"/>
    <x v="0"/>
  </r>
  <r>
    <s v="SL0020"/>
    <x v="17"/>
    <s v="P003"/>
    <s v="C002"/>
    <s v="S02"/>
    <n v="3"/>
    <n v="0"/>
    <x v="13"/>
    <x v="1"/>
    <n v="165"/>
    <s v="Priya Singh"/>
    <x v="2"/>
    <n v="495"/>
    <n v="0"/>
    <n v="495"/>
    <n v="494000"/>
    <s v="No Discount"/>
    <x v="0"/>
  </r>
  <r>
    <s v="SL0021"/>
    <x v="18"/>
    <s v="P014"/>
    <s v="C020"/>
    <s v="S02"/>
    <n v="7"/>
    <n v="10"/>
    <x v="3"/>
    <x v="3"/>
    <n v="1299"/>
    <s v="Lalita Das"/>
    <x v="3"/>
    <n v="9093"/>
    <n v="909.30000000000007"/>
    <n v="8183.7"/>
    <n v="676000"/>
    <s v="Low Discount"/>
    <x v="0"/>
  </r>
  <r>
    <s v="SL0022"/>
    <x v="19"/>
    <s v="P015"/>
    <s v="C017"/>
    <s v="S05"/>
    <n v="9"/>
    <n v="0"/>
    <x v="2"/>
    <x v="2"/>
    <n v="1850"/>
    <s v="Dinesh Yadav"/>
    <x v="0"/>
    <n v="16650"/>
    <n v="0"/>
    <n v="16650"/>
    <n v="912000"/>
    <s v="No Discount"/>
    <x v="0"/>
  </r>
  <r>
    <s v="SL0023"/>
    <x v="18"/>
    <s v="P004"/>
    <s v="C018"/>
    <s v="S05"/>
    <n v="6"/>
    <n v="0"/>
    <x v="0"/>
    <x v="0"/>
    <n v="275"/>
    <s v="Sudha Sharma"/>
    <x v="1"/>
    <n v="1650"/>
    <n v="0"/>
    <n v="1650"/>
    <n v="988000"/>
    <s v="No Discount"/>
    <x v="0"/>
  </r>
  <r>
    <s v="SL0024"/>
    <x v="20"/>
    <s v="P014"/>
    <s v="C006"/>
    <s v="S08"/>
    <n v="1"/>
    <n v="5"/>
    <x v="3"/>
    <x v="3"/>
    <n v="1299"/>
    <s v="Deepa Menon"/>
    <x v="2"/>
    <n v="1299"/>
    <n v="64.95"/>
    <n v="1234.05"/>
    <n v="377200"/>
    <s v="Low Discount"/>
    <x v="0"/>
  </r>
  <r>
    <s v="SL0025"/>
    <x v="21"/>
    <s v="P006"/>
    <s v="C017"/>
    <s v="S02"/>
    <n v="5"/>
    <n v="20"/>
    <x v="10"/>
    <x v="4"/>
    <n v="32999"/>
    <s v="Dinesh Yadav"/>
    <x v="0"/>
    <n v="164995"/>
    <n v="32999"/>
    <n v="131996"/>
    <n v="494000"/>
    <s v="High Discount"/>
    <x v="0"/>
  </r>
  <r>
    <s v="SL0026"/>
    <x v="22"/>
    <s v="P007"/>
    <s v="C005"/>
    <s v="S06"/>
    <n v="3"/>
    <n v="20"/>
    <x v="6"/>
    <x v="4"/>
    <n v="1499"/>
    <s v="Rohan Gupta"/>
    <x v="0"/>
    <n v="4497"/>
    <n v="899.40000000000009"/>
    <n v="3597.6"/>
    <n v="504000"/>
    <s v="High Discount"/>
    <x v="0"/>
  </r>
  <r>
    <s v="SL0027"/>
    <x v="23"/>
    <s v="P001"/>
    <s v="C020"/>
    <s v="S06"/>
    <n v="8"/>
    <n v="0"/>
    <x v="1"/>
    <x v="1"/>
    <n v="320"/>
    <s v="Lalita Das"/>
    <x v="3"/>
    <n v="2560"/>
    <n v="0"/>
    <n v="2560"/>
    <n v="399000"/>
    <s v="No Discount"/>
    <x v="0"/>
  </r>
  <r>
    <s v="SL0028"/>
    <x v="24"/>
    <s v="P012"/>
    <s v="C010"/>
    <s v="S04"/>
    <n v="1"/>
    <n v="5"/>
    <x v="8"/>
    <x v="5"/>
    <n v="299"/>
    <s v="Rupa Devi"/>
    <x v="3"/>
    <n v="299"/>
    <n v="14.950000000000001"/>
    <n v="284.05"/>
    <n v="422400"/>
    <s v="Low Discount"/>
    <x v="0"/>
  </r>
  <r>
    <s v="SL0029"/>
    <x v="25"/>
    <s v="P003"/>
    <s v="C003"/>
    <s v="S08"/>
    <n v="2"/>
    <n v="20"/>
    <x v="13"/>
    <x v="1"/>
    <n v="165"/>
    <s v="Vikram Nair"/>
    <x v="1"/>
    <n v="330"/>
    <n v="66"/>
    <n v="264"/>
    <n v="451000"/>
    <s v="High Discount"/>
    <x v="0"/>
  </r>
  <r>
    <s v="SL0030"/>
    <x v="26"/>
    <s v="P005"/>
    <s v="C016"/>
    <s v="S09"/>
    <n v="3"/>
    <n v="5"/>
    <x v="14"/>
    <x v="0"/>
    <n v="68"/>
    <s v="Rekha Pillai"/>
    <x v="4"/>
    <n v="204"/>
    <n v="10.200000000000001"/>
    <n v="193.8"/>
    <n v="674500"/>
    <s v="Low Discount"/>
    <x v="0"/>
  </r>
  <r>
    <s v="SL0031"/>
    <x v="27"/>
    <s v="P020"/>
    <s v="C014"/>
    <s v="S04"/>
    <n v="9"/>
    <n v="5"/>
    <x v="4"/>
    <x v="3"/>
    <n v="3499"/>
    <s v="Pooja Verma"/>
    <x v="1"/>
    <n v="31491"/>
    <n v="1574.5500000000002"/>
    <n v="29916.45"/>
    <n v="456000"/>
    <s v="Low Discount"/>
    <x v="0"/>
  </r>
  <r>
    <s v="SL0032"/>
    <x v="28"/>
    <s v="P013"/>
    <s v="C012"/>
    <s v="S08"/>
    <n v="9"/>
    <n v="15"/>
    <x v="5"/>
    <x v="3"/>
    <n v="2499"/>
    <s v="Anita Kapoor"/>
    <x v="2"/>
    <n v="22491"/>
    <n v="3373.65"/>
    <n v="19117.349999999999"/>
    <n v="360800"/>
    <s v="High Discount"/>
    <x v="0"/>
  </r>
  <r>
    <s v="SL0033"/>
    <x v="29"/>
    <s v="P008"/>
    <s v="C008"/>
    <s v="S02"/>
    <n v="6"/>
    <n v="0"/>
    <x v="7"/>
    <x v="4"/>
    <n v="129"/>
    <s v="Kavitha Kumar"/>
    <x v="4"/>
    <n v="774"/>
    <n v="0"/>
    <n v="774"/>
    <n v="494000"/>
    <s v="No Discount"/>
    <x v="0"/>
  </r>
  <r>
    <s v="SL0034"/>
    <x v="30"/>
    <s v="P018"/>
    <s v="C008"/>
    <s v="S10"/>
    <n v="4"/>
    <n v="0"/>
    <x v="15"/>
    <x v="1"/>
    <n v="180"/>
    <s v="Kavitha Kumar"/>
    <x v="4"/>
    <n v="720"/>
    <n v="0"/>
    <n v="720"/>
    <n v="429000"/>
    <s v="No Discount"/>
    <x v="0"/>
  </r>
  <r>
    <s v="SL0035"/>
    <x v="31"/>
    <s v="P002"/>
    <s v="C008"/>
    <s v="S02"/>
    <n v="1"/>
    <n v="10"/>
    <x v="16"/>
    <x v="1"/>
    <n v="145"/>
    <s v="Kavitha Kumar"/>
    <x v="4"/>
    <n v="145"/>
    <n v="14.5"/>
    <n v="130.5"/>
    <n v="457600"/>
    <s v="Low Discount"/>
    <x v="0"/>
  </r>
  <r>
    <s v="SL0036"/>
    <x v="31"/>
    <s v="P017"/>
    <s v="C008"/>
    <s v="S05"/>
    <n v="8"/>
    <n v="5"/>
    <x v="17"/>
    <x v="1"/>
    <n v="95"/>
    <s v="Kavitha Kumar"/>
    <x v="4"/>
    <n v="760"/>
    <n v="38"/>
    <n v="722"/>
    <n v="668800"/>
    <s v="Low Discount"/>
    <x v="0"/>
  </r>
  <r>
    <s v="SL0037"/>
    <x v="32"/>
    <s v="P005"/>
    <s v="C019"/>
    <s v="S10"/>
    <n v="8"/>
    <n v="5"/>
    <x v="14"/>
    <x v="0"/>
    <n v="68"/>
    <s v="Kiran Reddy"/>
    <x v="2"/>
    <n v="544"/>
    <n v="27.200000000000003"/>
    <n v="516.79999999999995"/>
    <n v="429000"/>
    <s v="Low Discount"/>
    <x v="0"/>
  </r>
  <r>
    <s v="SL0038"/>
    <x v="33"/>
    <s v="P014"/>
    <s v="C007"/>
    <s v="S02"/>
    <n v="2"/>
    <n v="10"/>
    <x v="3"/>
    <x v="3"/>
    <n v="1299"/>
    <s v="Arjun Patel"/>
    <x v="1"/>
    <n v="2598"/>
    <n v="259.8"/>
    <n v="2338.1999999999998"/>
    <n v="442000"/>
    <s v="Low Discount"/>
    <x v="0"/>
  </r>
  <r>
    <s v="SL0039"/>
    <x v="34"/>
    <s v="P014"/>
    <s v="C014"/>
    <s v="S08"/>
    <n v="1"/>
    <n v="0"/>
    <x v="3"/>
    <x v="3"/>
    <n v="1299"/>
    <s v="Pooja Verma"/>
    <x v="1"/>
    <n v="1299"/>
    <n v="0"/>
    <n v="1299"/>
    <n v="336100"/>
    <s v="No Discount"/>
    <x v="0"/>
  </r>
  <r>
    <s v="SL0040"/>
    <x v="35"/>
    <s v="P013"/>
    <s v="C011"/>
    <s v="S02"/>
    <n v="4"/>
    <n v="5"/>
    <x v="5"/>
    <x v="3"/>
    <n v="2499"/>
    <s v="Manish Joshi"/>
    <x v="0"/>
    <n v="9996"/>
    <n v="499.8"/>
    <n v="9496.2000000000007"/>
    <n v="457600"/>
    <s v="Low Discount"/>
    <x v="0"/>
  </r>
  <r>
    <s v="SL0041"/>
    <x v="36"/>
    <s v="P018"/>
    <s v="C015"/>
    <s v="S03"/>
    <n v="7"/>
    <n v="0"/>
    <x v="15"/>
    <x v="1"/>
    <n v="180"/>
    <s v="Arun Banerjee"/>
    <x v="3"/>
    <n v="1260"/>
    <n v="0"/>
    <n v="1260"/>
    <n v="828000"/>
    <s v="No Discount"/>
    <x v="0"/>
  </r>
  <r>
    <s v="SL0042"/>
    <x v="37"/>
    <s v="P015"/>
    <s v="C008"/>
    <s v="S02"/>
    <n v="8"/>
    <n v="20"/>
    <x v="2"/>
    <x v="2"/>
    <n v="1850"/>
    <s v="Kavitha Kumar"/>
    <x v="4"/>
    <n v="14800"/>
    <n v="2960"/>
    <n v="11840"/>
    <n v="478400"/>
    <s v="High Discount"/>
    <x v="0"/>
  </r>
  <r>
    <s v="SL0043"/>
    <x v="38"/>
    <s v="P002"/>
    <s v="C018"/>
    <s v="S01"/>
    <n v="2"/>
    <n v="5"/>
    <x v="16"/>
    <x v="1"/>
    <n v="145"/>
    <s v="Sudha Sharma"/>
    <x v="1"/>
    <n v="290"/>
    <n v="14.5"/>
    <n v="275.5"/>
    <n v="748000"/>
    <s v="Low Discount"/>
    <x v="0"/>
  </r>
  <r>
    <s v="SL0044"/>
    <x v="39"/>
    <s v="P014"/>
    <s v="C016"/>
    <s v="S08"/>
    <n v="4"/>
    <n v="10"/>
    <x v="3"/>
    <x v="3"/>
    <n v="1299"/>
    <s v="Rekha Pillai"/>
    <x v="4"/>
    <n v="5196"/>
    <n v="519.6"/>
    <n v="4676.3999999999996"/>
    <n v="389500"/>
    <s v="Low Discount"/>
    <x v="0"/>
  </r>
  <r>
    <s v="SL0045"/>
    <x v="40"/>
    <s v="P006"/>
    <s v="C013"/>
    <s v="S01"/>
    <n v="7"/>
    <n v="5"/>
    <x v="10"/>
    <x v="4"/>
    <n v="32999"/>
    <s v="Sanjay Iyer"/>
    <x v="4"/>
    <n v="230993"/>
    <n v="11549.650000000001"/>
    <n v="219443.35"/>
    <n v="722500"/>
    <s v="Low Discount"/>
    <x v="0"/>
  </r>
  <r>
    <s v="SL0046"/>
    <x v="41"/>
    <s v="P010"/>
    <s v="C014"/>
    <s v="S09"/>
    <n v="8"/>
    <n v="0"/>
    <x v="18"/>
    <x v="6"/>
    <n v="95"/>
    <s v="Pooja Verma"/>
    <x v="1"/>
    <n v="760"/>
    <n v="0"/>
    <n v="760"/>
    <n v="603500"/>
    <s v="No Discount"/>
    <x v="0"/>
  </r>
  <r>
    <s v="SL0047"/>
    <x v="36"/>
    <s v="P010"/>
    <s v="C007"/>
    <s v="S01"/>
    <n v="10"/>
    <n v="20"/>
    <x v="18"/>
    <x v="6"/>
    <n v="95"/>
    <s v="Arjun Patel"/>
    <x v="1"/>
    <n v="950"/>
    <n v="190"/>
    <n v="760"/>
    <n v="765000"/>
    <s v="High Discount"/>
    <x v="0"/>
  </r>
  <r>
    <s v="SL0048"/>
    <x v="35"/>
    <s v="P011"/>
    <s v="C002"/>
    <s v="S01"/>
    <n v="10"/>
    <n v="15"/>
    <x v="11"/>
    <x v="5"/>
    <n v="350"/>
    <s v="Priya Singh"/>
    <x v="2"/>
    <n v="3500"/>
    <n v="525"/>
    <n v="2975"/>
    <n v="748000"/>
    <s v="High Discount"/>
    <x v="0"/>
  </r>
  <r>
    <s v="SL0049"/>
    <x v="42"/>
    <s v="P017"/>
    <s v="C006"/>
    <s v="S01"/>
    <n v="9"/>
    <n v="0"/>
    <x v="17"/>
    <x v="1"/>
    <n v="95"/>
    <s v="Deepa Menon"/>
    <x v="2"/>
    <n v="855"/>
    <n v="0"/>
    <n v="855"/>
    <n v="807500"/>
    <s v="No Discount"/>
    <x v="0"/>
  </r>
  <r>
    <s v="SL0050"/>
    <x v="43"/>
    <s v="P003"/>
    <s v="C020"/>
    <s v="S02"/>
    <n v="4"/>
    <n v="10"/>
    <x v="13"/>
    <x v="1"/>
    <n v="165"/>
    <s v="Lalita Das"/>
    <x v="3"/>
    <n v="660"/>
    <n v="66"/>
    <n v="594"/>
    <n v="468000"/>
    <s v="Low Discount"/>
    <x v="0"/>
  </r>
  <r>
    <s v="SL0051"/>
    <x v="29"/>
    <s v="P019"/>
    <s v="C008"/>
    <s v="S10"/>
    <n v="10"/>
    <n v="0"/>
    <x v="19"/>
    <x v="6"/>
    <n v="95"/>
    <s v="Kavitha Kumar"/>
    <x v="4"/>
    <n v="950"/>
    <n v="0"/>
    <n v="950"/>
    <n v="370500"/>
    <s v="No Discount"/>
    <x v="0"/>
  </r>
  <r>
    <s v="SL0052"/>
    <x v="44"/>
    <s v="P003"/>
    <s v="C014"/>
    <s v="S10"/>
    <n v="10"/>
    <n v="20"/>
    <x v="13"/>
    <x v="1"/>
    <n v="165"/>
    <s v="Pooja Verma"/>
    <x v="1"/>
    <n v="1650"/>
    <n v="330"/>
    <n v="1320"/>
    <n v="468000"/>
    <s v="High Discount"/>
    <x v="0"/>
  </r>
  <r>
    <s v="SL0053"/>
    <x v="45"/>
    <s v="P009"/>
    <s v="C007"/>
    <s v="S06"/>
    <n v="4"/>
    <n v="5"/>
    <x v="9"/>
    <x v="6"/>
    <n v="210"/>
    <s v="Arjun Patel"/>
    <x v="1"/>
    <n v="840"/>
    <n v="42"/>
    <n v="798"/>
    <n v="369600"/>
    <s v="Low Discount"/>
    <x v="0"/>
  </r>
  <r>
    <s v="SL0054"/>
    <x v="46"/>
    <s v="P005"/>
    <s v="C010"/>
    <s v="S08"/>
    <n v="6"/>
    <n v="0"/>
    <x v="14"/>
    <x v="0"/>
    <n v="68"/>
    <s v="Rupa Devi"/>
    <x v="3"/>
    <n v="408"/>
    <n v="0"/>
    <n v="408"/>
    <n v="336100"/>
    <s v="No Discount"/>
    <x v="0"/>
  </r>
  <r>
    <s v="SL0055"/>
    <x v="47"/>
    <s v="P015"/>
    <s v="C020"/>
    <s v="S10"/>
    <n v="2"/>
    <n v="0"/>
    <x v="2"/>
    <x v="2"/>
    <n v="1850"/>
    <s v="Lalita Das"/>
    <x v="3"/>
    <n v="3700"/>
    <n v="0"/>
    <n v="3700"/>
    <n v="331500"/>
    <s v="No Discount"/>
    <x v="0"/>
  </r>
  <r>
    <s v="SL0056"/>
    <x v="48"/>
    <s v="P007"/>
    <s v="C017"/>
    <s v="S05"/>
    <n v="3"/>
    <n v="10"/>
    <x v="6"/>
    <x v="4"/>
    <n v="1499"/>
    <s v="Dinesh Yadav"/>
    <x v="0"/>
    <n v="4497"/>
    <n v="449.70000000000005"/>
    <n v="4047.3"/>
    <n v="836000"/>
    <s v="Low Discount"/>
    <x v="0"/>
  </r>
  <r>
    <s v="SL0057"/>
    <x v="49"/>
    <s v="P008"/>
    <s v="C012"/>
    <s v="S05"/>
    <n v="3"/>
    <n v="15"/>
    <x v="7"/>
    <x v="4"/>
    <n v="129"/>
    <s v="Anita Kapoor"/>
    <x v="2"/>
    <n v="387"/>
    <n v="58.05"/>
    <n v="328.95"/>
    <n v="668800"/>
    <s v="High Discount"/>
    <x v="0"/>
  </r>
  <r>
    <s v="SL0058"/>
    <x v="50"/>
    <s v="P010"/>
    <s v="C020"/>
    <s v="S09"/>
    <n v="1"/>
    <n v="20"/>
    <x v="18"/>
    <x v="6"/>
    <n v="95"/>
    <s v="Lalita Das"/>
    <x v="3"/>
    <n v="95"/>
    <n v="19"/>
    <n v="76"/>
    <n v="781000"/>
    <s v="High Discount"/>
    <x v="0"/>
  </r>
  <r>
    <s v="SL0059"/>
    <x v="51"/>
    <s v="P004"/>
    <s v="C005"/>
    <s v="S05"/>
    <n v="2"/>
    <n v="0"/>
    <x v="0"/>
    <x v="0"/>
    <n v="275"/>
    <s v="Rohan Gupta"/>
    <x v="0"/>
    <n v="550"/>
    <n v="0"/>
    <n v="550"/>
    <n v="668800"/>
    <s v="No Discount"/>
    <x v="0"/>
  </r>
  <r>
    <s v="SL0060"/>
    <x v="52"/>
    <s v="P005"/>
    <s v="C009"/>
    <s v="S05"/>
    <n v="10"/>
    <n v="5"/>
    <x v="14"/>
    <x v="0"/>
    <n v="68"/>
    <s v="Suresh Ghosh"/>
    <x v="3"/>
    <n v="680"/>
    <n v="34"/>
    <n v="646"/>
    <n v="836000"/>
    <s v="Low Discount"/>
    <x v="0"/>
  </r>
  <r>
    <s v="SL0061"/>
    <x v="53"/>
    <s v="P007"/>
    <s v="C009"/>
    <s v="S09"/>
    <n v="8"/>
    <n v="5"/>
    <x v="6"/>
    <x v="4"/>
    <n v="1499"/>
    <s v="Suresh Ghosh"/>
    <x v="3"/>
    <n v="11992"/>
    <n v="599.6"/>
    <n v="11392.4"/>
    <n v="624800"/>
    <s v="Low Discount"/>
    <x v="0"/>
  </r>
  <r>
    <s v="SL0062"/>
    <x v="54"/>
    <s v="P003"/>
    <s v="C014"/>
    <s v="S05"/>
    <n v="1"/>
    <n v="0"/>
    <x v="13"/>
    <x v="1"/>
    <n v="165"/>
    <s v="Pooja Verma"/>
    <x v="1"/>
    <n v="165"/>
    <n v="0"/>
    <n v="165"/>
    <n v="646000"/>
    <s v="No Discount"/>
    <x v="0"/>
  </r>
  <r>
    <s v="SL0063"/>
    <x v="55"/>
    <s v="P005"/>
    <s v="C009"/>
    <s v="S03"/>
    <n v="8"/>
    <n v="20"/>
    <x v="14"/>
    <x v="0"/>
    <n v="68"/>
    <s v="Suresh Ghosh"/>
    <x v="3"/>
    <n v="544"/>
    <n v="108.80000000000001"/>
    <n v="435.2"/>
    <n v="809600"/>
    <s v="High Discount"/>
    <x v="0"/>
  </r>
  <r>
    <s v="SL0064"/>
    <x v="56"/>
    <s v="P014"/>
    <s v="C018"/>
    <s v="S01"/>
    <n v="2"/>
    <n v="0"/>
    <x v="3"/>
    <x v="3"/>
    <n v="1299"/>
    <s v="Sudha Sharma"/>
    <x v="1"/>
    <n v="2598"/>
    <n v="0"/>
    <n v="2598"/>
    <n v="1105000"/>
    <s v="No Discount"/>
    <x v="0"/>
  </r>
  <r>
    <s v="SL0065"/>
    <x v="57"/>
    <s v="P005"/>
    <s v="C018"/>
    <s v="S01"/>
    <n v="6"/>
    <n v="20"/>
    <x v="14"/>
    <x v="0"/>
    <n v="68"/>
    <s v="Sudha Sharma"/>
    <x v="1"/>
    <n v="408"/>
    <n v="81.600000000000009"/>
    <n v="326.39999999999998"/>
    <n v="1105000"/>
    <s v="High Discount"/>
    <x v="0"/>
  </r>
  <r>
    <s v="SL0066"/>
    <x v="58"/>
    <s v="P014"/>
    <s v="C005"/>
    <s v="S01"/>
    <n v="5"/>
    <n v="10"/>
    <x v="3"/>
    <x v="3"/>
    <n v="1299"/>
    <s v="Rohan Gupta"/>
    <x v="0"/>
    <n v="6495"/>
    <n v="649.5"/>
    <n v="5845.5"/>
    <n v="807500"/>
    <s v="Low Discount"/>
    <x v="0"/>
  </r>
  <r>
    <s v="SL0067"/>
    <x v="59"/>
    <s v="P012"/>
    <s v="C007"/>
    <s v="S04"/>
    <n v="2"/>
    <n v="10"/>
    <x v="8"/>
    <x v="5"/>
    <n v="299"/>
    <s v="Arjun Patel"/>
    <x v="1"/>
    <n v="598"/>
    <n v="59.800000000000004"/>
    <n v="538.20000000000005"/>
    <n v="408000"/>
    <s v="Low Discount"/>
    <x v="0"/>
  </r>
  <r>
    <s v="SL0068"/>
    <x v="60"/>
    <s v="P014"/>
    <s v="C020"/>
    <s v="S03"/>
    <n v="4"/>
    <n v="0"/>
    <x v="3"/>
    <x v="3"/>
    <n v="1299"/>
    <s v="Lalita Das"/>
    <x v="3"/>
    <n v="5196"/>
    <n v="0"/>
    <n v="5196"/>
    <n v="1012000"/>
    <s v="No Discount"/>
    <x v="0"/>
  </r>
  <r>
    <s v="SL0069"/>
    <x v="61"/>
    <s v="P014"/>
    <s v="C001"/>
    <s v="S03"/>
    <n v="6"/>
    <n v="10"/>
    <x v="3"/>
    <x v="3"/>
    <n v="1299"/>
    <s v="Aarav Sharma"/>
    <x v="0"/>
    <n v="7794"/>
    <n v="779.40000000000009"/>
    <n v="7014.6"/>
    <n v="828000"/>
    <s v="Low Discount"/>
    <x v="0"/>
  </r>
  <r>
    <s v="SL0070"/>
    <x v="62"/>
    <s v="P008"/>
    <s v="C009"/>
    <s v="S03"/>
    <n v="2"/>
    <n v="10"/>
    <x v="7"/>
    <x v="4"/>
    <n v="129"/>
    <s v="Suresh Ghosh"/>
    <x v="3"/>
    <n v="258"/>
    <n v="25.8"/>
    <n v="232.2"/>
    <n v="1196000"/>
    <s v="Low Discount"/>
    <x v="0"/>
  </r>
  <r>
    <s v="SL0071"/>
    <x v="63"/>
    <s v="P016"/>
    <s v="C008"/>
    <s v="S04"/>
    <n v="8"/>
    <n v="10"/>
    <x v="12"/>
    <x v="2"/>
    <n v="599"/>
    <s v="Kavitha Kumar"/>
    <x v="4"/>
    <n v="4792"/>
    <n v="479.20000000000005"/>
    <n v="4312.8"/>
    <n v="408000"/>
    <s v="Low Discount"/>
    <x v="0"/>
  </r>
  <r>
    <s v="SL0072"/>
    <x v="64"/>
    <s v="P008"/>
    <s v="C008"/>
    <s v="S01"/>
    <n v="4"/>
    <n v="10"/>
    <x v="7"/>
    <x v="4"/>
    <n v="129"/>
    <s v="Kavitha Kumar"/>
    <x v="4"/>
    <n v="516"/>
    <n v="51.6"/>
    <n v="464.4"/>
    <n v="748000"/>
    <s v="Low Discount"/>
    <x v="0"/>
  </r>
  <r>
    <s v="SL0073"/>
    <x v="65"/>
    <s v="P009"/>
    <s v="C003"/>
    <s v="S05"/>
    <n v="6"/>
    <n v="20"/>
    <x v="9"/>
    <x v="6"/>
    <n v="210"/>
    <s v="Vikram Nair"/>
    <x v="1"/>
    <n v="1260"/>
    <n v="252"/>
    <n v="1008"/>
    <n v="668800"/>
    <s v="High Discount"/>
    <x v="0"/>
  </r>
  <r>
    <s v="SL0074"/>
    <x v="66"/>
    <s v="P018"/>
    <s v="C011"/>
    <s v="S01"/>
    <n v="2"/>
    <n v="5"/>
    <x v="15"/>
    <x v="1"/>
    <n v="180"/>
    <s v="Manish Joshi"/>
    <x v="0"/>
    <n v="360"/>
    <n v="18"/>
    <n v="342"/>
    <n v="697000"/>
    <s v="Low Discount"/>
    <x v="0"/>
  </r>
  <r>
    <s v="SL0075"/>
    <x v="67"/>
    <s v="P019"/>
    <s v="C009"/>
    <s v="S01"/>
    <n v="2"/>
    <n v="10"/>
    <x v="19"/>
    <x v="6"/>
    <n v="95"/>
    <s v="Suresh Ghosh"/>
    <x v="3"/>
    <n v="190"/>
    <n v="19"/>
    <n v="171"/>
    <n v="765000"/>
    <s v="Low Discount"/>
    <x v="0"/>
  </r>
  <r>
    <s v="SL0076"/>
    <x v="7"/>
    <s v="P011"/>
    <s v="C014"/>
    <s v="S10"/>
    <n v="9"/>
    <n v="0"/>
    <x v="11"/>
    <x v="5"/>
    <n v="350"/>
    <s v="Pooja Verma"/>
    <x v="1"/>
    <n v="3150"/>
    <n v="0"/>
    <n v="3150"/>
    <n v="343200"/>
    <s v="No Discount"/>
    <x v="0"/>
  </r>
  <r>
    <s v="SL0077"/>
    <x v="68"/>
    <s v="P019"/>
    <s v="C007"/>
    <s v="S05"/>
    <n v="1"/>
    <n v="10"/>
    <x v="19"/>
    <x v="6"/>
    <n v="95"/>
    <s v="Arjun Patel"/>
    <x v="1"/>
    <n v="95"/>
    <n v="9.5"/>
    <n v="85.5"/>
    <n v="623200"/>
    <s v="Low Discount"/>
    <x v="0"/>
  </r>
  <r>
    <s v="SL0078"/>
    <x v="69"/>
    <s v="P017"/>
    <s v="C018"/>
    <s v="S04"/>
    <n v="6"/>
    <n v="10"/>
    <x v="17"/>
    <x v="1"/>
    <n v="95"/>
    <s v="Sudha Sharma"/>
    <x v="1"/>
    <n v="570"/>
    <n v="57"/>
    <n v="513"/>
    <n v="408000"/>
    <s v="Low Discount"/>
    <x v="0"/>
  </r>
  <r>
    <s v="SL0079"/>
    <x v="49"/>
    <s v="P011"/>
    <s v="C020"/>
    <s v="S06"/>
    <n v="2"/>
    <n v="5"/>
    <x v="11"/>
    <x v="5"/>
    <n v="350"/>
    <s v="Lalita Das"/>
    <x v="3"/>
    <n v="700"/>
    <n v="35"/>
    <n v="665"/>
    <n v="369600"/>
    <s v="Low Discount"/>
    <x v="0"/>
  </r>
  <r>
    <s v="SL0080"/>
    <x v="70"/>
    <s v="P010"/>
    <s v="C014"/>
    <s v="S06"/>
    <n v="7"/>
    <n v="5"/>
    <x v="18"/>
    <x v="6"/>
    <n v="95"/>
    <s v="Pooja Verma"/>
    <x v="1"/>
    <n v="665"/>
    <n v="33.25"/>
    <n v="631.75"/>
    <n v="399000"/>
    <s v="Low Discount"/>
    <x v="0"/>
  </r>
  <r>
    <s v="SL0081"/>
    <x v="52"/>
    <s v="P005"/>
    <s v="C007"/>
    <s v="S07"/>
    <n v="7"/>
    <n v="0"/>
    <x v="14"/>
    <x v="0"/>
    <n v="68"/>
    <s v="Arjun Patel"/>
    <x v="1"/>
    <n v="476"/>
    <n v="0"/>
    <n v="476"/>
    <n v="748000"/>
    <s v="No Discount"/>
    <x v="0"/>
  </r>
  <r>
    <s v="SL0082"/>
    <x v="71"/>
    <s v="P019"/>
    <s v="C010"/>
    <s v="S07"/>
    <n v="9"/>
    <n v="0"/>
    <x v="19"/>
    <x v="6"/>
    <n v="95"/>
    <s v="Rupa Devi"/>
    <x v="3"/>
    <n v="855"/>
    <n v="0"/>
    <n v="855"/>
    <n v="816000"/>
    <s v="No Discount"/>
    <x v="0"/>
  </r>
  <r>
    <s v="SL0083"/>
    <x v="72"/>
    <s v="P010"/>
    <s v="C007"/>
    <s v="S07"/>
    <n v="10"/>
    <n v="10"/>
    <x v="18"/>
    <x v="6"/>
    <n v="95"/>
    <s v="Arjun Patel"/>
    <x v="1"/>
    <n v="950"/>
    <n v="95"/>
    <n v="855"/>
    <n v="598400"/>
    <s v="Low Discount"/>
    <x v="0"/>
  </r>
  <r>
    <s v="SL0084"/>
    <x v="73"/>
    <s v="P015"/>
    <s v="C015"/>
    <s v="S04"/>
    <n v="9"/>
    <n v="15"/>
    <x v="2"/>
    <x v="2"/>
    <n v="1850"/>
    <s v="Arun Banerjee"/>
    <x v="3"/>
    <n v="16650"/>
    <n v="2497.5"/>
    <n v="14152.5"/>
    <n v="408000"/>
    <s v="High Discount"/>
    <x v="0"/>
  </r>
  <r>
    <s v="SL0085"/>
    <x v="74"/>
    <s v="P003"/>
    <s v="C010"/>
    <s v="S09"/>
    <n v="10"/>
    <n v="10"/>
    <x v="13"/>
    <x v="1"/>
    <n v="165"/>
    <s v="Rupa Devi"/>
    <x v="3"/>
    <n v="1650"/>
    <n v="165"/>
    <n v="1485"/>
    <n v="674500"/>
    <s v="Low Discount"/>
    <x v="0"/>
  </r>
  <r>
    <s v="SL0086"/>
    <x v="75"/>
    <s v="P008"/>
    <s v="C010"/>
    <s v="S04"/>
    <n v="4"/>
    <n v="0"/>
    <x v="7"/>
    <x v="4"/>
    <n v="129"/>
    <s v="Rupa Devi"/>
    <x v="3"/>
    <n v="516"/>
    <n v="0"/>
    <n v="516"/>
    <n v="422400"/>
    <s v="No Discount"/>
    <x v="0"/>
  </r>
  <r>
    <s v="SL0087"/>
    <x v="76"/>
    <s v="P002"/>
    <s v="C008"/>
    <s v="S08"/>
    <n v="10"/>
    <n v="0"/>
    <x v="16"/>
    <x v="1"/>
    <n v="145"/>
    <s v="Kavitha Kumar"/>
    <x v="4"/>
    <n v="1450"/>
    <n v="0"/>
    <n v="1450"/>
    <n v="348500"/>
    <s v="No Discount"/>
    <x v="0"/>
  </r>
  <r>
    <s v="SL0088"/>
    <x v="77"/>
    <s v="P014"/>
    <s v="C019"/>
    <s v="S04"/>
    <n v="7"/>
    <n v="15"/>
    <x v="3"/>
    <x v="3"/>
    <n v="1299"/>
    <s v="Kiran Reddy"/>
    <x v="2"/>
    <n v="9093"/>
    <n v="1363.95"/>
    <n v="7729.05"/>
    <n v="408000"/>
    <s v="High Discount"/>
    <x v="0"/>
  </r>
  <r>
    <s v="SL0089"/>
    <x v="66"/>
    <s v="P008"/>
    <s v="C005"/>
    <s v="S01"/>
    <n v="2"/>
    <n v="10"/>
    <x v="7"/>
    <x v="4"/>
    <n v="129"/>
    <s v="Rohan Gupta"/>
    <x v="0"/>
    <n v="258"/>
    <n v="25.8"/>
    <n v="232.2"/>
    <n v="697000"/>
    <s v="Low Discount"/>
    <x v="0"/>
  </r>
  <r>
    <s v="SL0090"/>
    <x v="4"/>
    <s v="P006"/>
    <s v="C017"/>
    <s v="S08"/>
    <n v="1"/>
    <n v="20"/>
    <x v="10"/>
    <x v="4"/>
    <n v="32999"/>
    <s v="Dinesh Yadav"/>
    <x v="0"/>
    <n v="32999"/>
    <n v="6599.8"/>
    <n v="26399.200000000001"/>
    <n v="369000"/>
    <s v="High Discount"/>
    <x v="0"/>
  </r>
  <r>
    <s v="SL0091"/>
    <x v="78"/>
    <s v="P004"/>
    <s v="C015"/>
    <s v="S03"/>
    <n v="8"/>
    <n v="20"/>
    <x v="0"/>
    <x v="0"/>
    <n v="275"/>
    <s v="Arun Banerjee"/>
    <x v="3"/>
    <n v="2200"/>
    <n v="440"/>
    <n v="1760"/>
    <n v="846400"/>
    <s v="High Discount"/>
    <x v="0"/>
  </r>
  <r>
    <s v="SL0092"/>
    <x v="60"/>
    <s v="P020"/>
    <s v="C011"/>
    <s v="S08"/>
    <n v="10"/>
    <n v="20"/>
    <x v="4"/>
    <x v="3"/>
    <n v="3499"/>
    <s v="Manish Joshi"/>
    <x v="0"/>
    <n v="34990"/>
    <n v="6998"/>
    <n v="27992"/>
    <n v="451000"/>
    <s v="High Discount"/>
    <x v="0"/>
  </r>
  <r>
    <s v="SL0093"/>
    <x v="79"/>
    <s v="P018"/>
    <s v="C015"/>
    <s v="S03"/>
    <n v="8"/>
    <n v="15"/>
    <x v="15"/>
    <x v="1"/>
    <n v="180"/>
    <s v="Arun Banerjee"/>
    <x v="3"/>
    <n v="1440"/>
    <n v="216"/>
    <n v="1224"/>
    <n v="782000"/>
    <s v="High Discount"/>
    <x v="0"/>
  </r>
  <r>
    <s v="SL0094"/>
    <x v="80"/>
    <s v="P008"/>
    <s v="C009"/>
    <s v="S09"/>
    <n v="8"/>
    <n v="5"/>
    <x v="7"/>
    <x v="4"/>
    <n v="129"/>
    <s v="Suresh Ghosh"/>
    <x v="3"/>
    <n v="1032"/>
    <n v="51.6"/>
    <n v="980.4"/>
    <n v="653200"/>
    <s v="Low Discount"/>
    <x v="0"/>
  </r>
  <r>
    <s v="SL0095"/>
    <x v="81"/>
    <s v="P015"/>
    <s v="C003"/>
    <s v="S05"/>
    <n v="4"/>
    <n v="5"/>
    <x v="2"/>
    <x v="2"/>
    <n v="1850"/>
    <s v="Vikram Nair"/>
    <x v="1"/>
    <n v="7400"/>
    <n v="370"/>
    <n v="7030"/>
    <n v="699200"/>
    <s v="Low Discount"/>
    <x v="0"/>
  </r>
  <r>
    <s v="SL0096"/>
    <x v="82"/>
    <s v="P011"/>
    <s v="C018"/>
    <s v="S02"/>
    <n v="3"/>
    <n v="0"/>
    <x v="11"/>
    <x v="5"/>
    <n v="350"/>
    <s v="Sudha Sharma"/>
    <x v="1"/>
    <n v="1050"/>
    <n v="0"/>
    <n v="1050"/>
    <n v="457600"/>
    <s v="No Discount"/>
    <x v="0"/>
  </r>
  <r>
    <s v="SL0097"/>
    <x v="83"/>
    <s v="P013"/>
    <s v="C005"/>
    <s v="S04"/>
    <n v="2"/>
    <n v="10"/>
    <x v="5"/>
    <x v="3"/>
    <n v="2499"/>
    <s v="Rohan Gupta"/>
    <x v="0"/>
    <n v="4998"/>
    <n v="499.8"/>
    <n v="4498.2"/>
    <n v="432000"/>
    <s v="Low Discount"/>
    <x v="0"/>
  </r>
  <r>
    <s v="SL0098"/>
    <x v="84"/>
    <s v="P011"/>
    <s v="C018"/>
    <s v="S08"/>
    <n v="7"/>
    <n v="0"/>
    <x v="11"/>
    <x v="5"/>
    <n v="350"/>
    <s v="Sudha Sharma"/>
    <x v="1"/>
    <n v="2450"/>
    <n v="0"/>
    <n v="2450"/>
    <n v="336100"/>
    <s v="No Discount"/>
    <x v="0"/>
  </r>
  <r>
    <s v="SL0099"/>
    <x v="85"/>
    <s v="P014"/>
    <s v="C013"/>
    <s v="S10"/>
    <n v="1"/>
    <n v="10"/>
    <x v="3"/>
    <x v="3"/>
    <n v="1299"/>
    <s v="Sanjay Iyer"/>
    <x v="4"/>
    <n v="1299"/>
    <n v="129.9"/>
    <n v="1169.0999999999999"/>
    <n v="351000"/>
    <s v="Low Discount"/>
    <x v="0"/>
  </r>
  <r>
    <s v="SL0100"/>
    <x v="86"/>
    <s v="P001"/>
    <s v="C012"/>
    <s v="S05"/>
    <n v="7"/>
    <n v="10"/>
    <x v="1"/>
    <x v="1"/>
    <n v="320"/>
    <s v="Anita Kapoor"/>
    <x v="2"/>
    <n v="2240"/>
    <n v="224"/>
    <n v="2016"/>
    <n v="722000"/>
    <s v="Low Discount"/>
    <x v="0"/>
  </r>
  <r>
    <s v="SL0101"/>
    <x v="48"/>
    <s v="P018"/>
    <s v="C020"/>
    <s v="S04"/>
    <n v="8"/>
    <n v="5"/>
    <x v="15"/>
    <x v="1"/>
    <n v="180"/>
    <s v="Lalita Das"/>
    <x v="3"/>
    <n v="1440"/>
    <n v="72"/>
    <n v="1368"/>
    <n v="528000"/>
    <s v="Low Discount"/>
    <x v="0"/>
  </r>
  <r>
    <s v="SL0102"/>
    <x v="87"/>
    <s v="P014"/>
    <s v="C016"/>
    <s v="S01"/>
    <n v="7"/>
    <n v="10"/>
    <x v="3"/>
    <x v="3"/>
    <n v="1299"/>
    <s v="Rekha Pillai"/>
    <x v="4"/>
    <n v="9093"/>
    <n v="909.30000000000007"/>
    <n v="8183.7"/>
    <n v="782000"/>
    <s v="Low Discount"/>
    <x v="0"/>
  </r>
  <r>
    <s v="SL0103"/>
    <x v="62"/>
    <s v="P013"/>
    <s v="C006"/>
    <s v="S08"/>
    <n v="3"/>
    <n v="20"/>
    <x v="5"/>
    <x v="3"/>
    <n v="2499"/>
    <s v="Deepa Menon"/>
    <x v="2"/>
    <n v="7497"/>
    <n v="1499.4"/>
    <n v="5997.6"/>
    <n v="533000"/>
    <s v="High Discount"/>
    <x v="0"/>
  </r>
  <r>
    <s v="SL0104"/>
    <x v="88"/>
    <s v="P013"/>
    <s v="C019"/>
    <s v="S10"/>
    <n v="1"/>
    <n v="0"/>
    <x v="5"/>
    <x v="3"/>
    <n v="2499"/>
    <s v="Kiran Reddy"/>
    <x v="2"/>
    <n v="2499"/>
    <n v="0"/>
    <n v="2499"/>
    <n v="331500"/>
    <s v="No Discount"/>
    <x v="0"/>
  </r>
  <r>
    <s v="SL0105"/>
    <x v="89"/>
    <s v="P014"/>
    <s v="C005"/>
    <s v="S08"/>
    <n v="3"/>
    <n v="0"/>
    <x v="3"/>
    <x v="3"/>
    <n v="1299"/>
    <s v="Rohan Gupta"/>
    <x v="0"/>
    <n v="3897"/>
    <n v="0"/>
    <n v="3897"/>
    <n v="492000"/>
    <s v="No Discount"/>
    <x v="0"/>
  </r>
  <r>
    <s v="SL0106"/>
    <x v="90"/>
    <s v="P013"/>
    <s v="C011"/>
    <s v="S04"/>
    <n v="8"/>
    <n v="10"/>
    <x v="5"/>
    <x v="3"/>
    <n v="2499"/>
    <s v="Manish Joshi"/>
    <x v="0"/>
    <n v="19992"/>
    <n v="1999.2"/>
    <n v="17992.8"/>
    <n v="441600"/>
    <s v="Low Discount"/>
    <x v="0"/>
  </r>
  <r>
    <s v="SL0107"/>
    <x v="6"/>
    <s v="P013"/>
    <s v="C009"/>
    <s v="S07"/>
    <n v="5"/>
    <n v="0"/>
    <x v="5"/>
    <x v="3"/>
    <n v="2499"/>
    <s v="Suresh Ghosh"/>
    <x v="3"/>
    <n v="12495"/>
    <n v="0"/>
    <n v="12495"/>
    <n v="598400"/>
    <s v="No Discount"/>
    <x v="0"/>
  </r>
  <r>
    <s v="SL0108"/>
    <x v="91"/>
    <s v="P001"/>
    <s v="C018"/>
    <s v="S01"/>
    <n v="6"/>
    <n v="5"/>
    <x v="1"/>
    <x v="1"/>
    <n v="320"/>
    <s v="Sudha Sharma"/>
    <x v="1"/>
    <n v="1920"/>
    <n v="96"/>
    <n v="1824"/>
    <n v="722500"/>
    <s v="Low Discount"/>
    <x v="0"/>
  </r>
  <r>
    <s v="SL0109"/>
    <x v="92"/>
    <s v="P003"/>
    <s v="C002"/>
    <s v="S01"/>
    <n v="4"/>
    <n v="5"/>
    <x v="13"/>
    <x v="1"/>
    <n v="165"/>
    <s v="Priya Singh"/>
    <x v="2"/>
    <n v="660"/>
    <n v="33"/>
    <n v="627"/>
    <n v="1020000"/>
    <s v="Low Discount"/>
    <x v="0"/>
  </r>
  <r>
    <s v="SL0110"/>
    <x v="93"/>
    <s v="P020"/>
    <s v="C005"/>
    <s v="S04"/>
    <n v="3"/>
    <n v="15"/>
    <x v="4"/>
    <x v="3"/>
    <n v="3499"/>
    <s v="Rohan Gupta"/>
    <x v="0"/>
    <n v="10497"/>
    <n v="1574.55"/>
    <n v="8922.4500000000007"/>
    <n v="408000"/>
    <s v="High Discount"/>
    <x v="0"/>
  </r>
  <r>
    <s v="SL0111"/>
    <x v="62"/>
    <s v="P004"/>
    <s v="C019"/>
    <s v="S04"/>
    <n v="8"/>
    <n v="5"/>
    <x v="0"/>
    <x v="0"/>
    <n v="275"/>
    <s v="Kiran Reddy"/>
    <x v="2"/>
    <n v="2200"/>
    <n v="110"/>
    <n v="2090"/>
    <n v="624000"/>
    <s v="Low Discount"/>
    <x v="0"/>
  </r>
  <r>
    <s v="SL0112"/>
    <x v="94"/>
    <s v="P006"/>
    <s v="C020"/>
    <s v="S10"/>
    <n v="2"/>
    <n v="0"/>
    <x v="10"/>
    <x v="4"/>
    <n v="32999"/>
    <s v="Lalita Das"/>
    <x v="3"/>
    <n v="65998"/>
    <n v="0"/>
    <n v="65998"/>
    <n v="319800"/>
    <s v="No Discount"/>
    <x v="0"/>
  </r>
  <r>
    <s v="SL0113"/>
    <x v="28"/>
    <s v="P004"/>
    <s v="C019"/>
    <s v="S01"/>
    <n v="5"/>
    <n v="10"/>
    <x v="0"/>
    <x v="0"/>
    <n v="275"/>
    <s v="Kiran Reddy"/>
    <x v="2"/>
    <n v="1375"/>
    <n v="137.5"/>
    <n v="1237.5"/>
    <n v="748000"/>
    <s v="Low Discount"/>
    <x v="0"/>
  </r>
  <r>
    <s v="SL0114"/>
    <x v="95"/>
    <s v="P007"/>
    <s v="C003"/>
    <s v="S10"/>
    <n v="4"/>
    <n v="0"/>
    <x v="6"/>
    <x v="4"/>
    <n v="1499"/>
    <s v="Vikram Nair"/>
    <x v="1"/>
    <n v="5996"/>
    <n v="0"/>
    <n v="5996"/>
    <n v="319800"/>
    <s v="No Discount"/>
    <x v="0"/>
  </r>
  <r>
    <s v="SL0115"/>
    <x v="96"/>
    <s v="P010"/>
    <s v="C020"/>
    <s v="S02"/>
    <n v="10"/>
    <n v="0"/>
    <x v="18"/>
    <x v="6"/>
    <n v="95"/>
    <s v="Lalita Das"/>
    <x v="3"/>
    <n v="950"/>
    <n v="0"/>
    <n v="950"/>
    <n v="676000"/>
    <s v="No Discount"/>
    <x v="0"/>
  </r>
  <r>
    <s v="SL0116"/>
    <x v="97"/>
    <s v="P018"/>
    <s v="C014"/>
    <s v="S06"/>
    <n v="2"/>
    <n v="20"/>
    <x v="15"/>
    <x v="1"/>
    <n v="180"/>
    <s v="Pooja Verma"/>
    <x v="1"/>
    <n v="360"/>
    <n v="72"/>
    <n v="288"/>
    <n v="369600"/>
    <s v="High Discount"/>
    <x v="0"/>
  </r>
  <r>
    <s v="SL0117"/>
    <x v="98"/>
    <s v="P011"/>
    <s v="C001"/>
    <s v="S07"/>
    <n v="8"/>
    <n v="0"/>
    <x v="11"/>
    <x v="5"/>
    <n v="350"/>
    <s v="Aarav Sharma"/>
    <x v="0"/>
    <n v="2800"/>
    <n v="0"/>
    <n v="2800"/>
    <n v="816000"/>
    <s v="No Discount"/>
    <x v="0"/>
  </r>
  <r>
    <s v="SL0118"/>
    <x v="99"/>
    <s v="P012"/>
    <s v="C015"/>
    <s v="S03"/>
    <n v="7"/>
    <n v="0"/>
    <x v="8"/>
    <x v="5"/>
    <n v="299"/>
    <s v="Arun Banerjee"/>
    <x v="3"/>
    <n v="2093"/>
    <n v="0"/>
    <n v="2093"/>
    <n v="782000"/>
    <s v="No Discount"/>
    <x v="0"/>
  </r>
  <r>
    <s v="SL0119"/>
    <x v="100"/>
    <s v="P009"/>
    <s v="C020"/>
    <s v="S09"/>
    <n v="8"/>
    <n v="15"/>
    <x v="9"/>
    <x v="6"/>
    <n v="210"/>
    <s v="Lalita Das"/>
    <x v="3"/>
    <n v="1680"/>
    <n v="252"/>
    <n v="1428"/>
    <n v="674500"/>
    <s v="High Discount"/>
    <x v="0"/>
  </r>
  <r>
    <s v="SL0120"/>
    <x v="101"/>
    <s v="P019"/>
    <s v="C009"/>
    <s v="S06"/>
    <n v="4"/>
    <n v="0"/>
    <x v="19"/>
    <x v="6"/>
    <n v="95"/>
    <s v="Suresh Ghosh"/>
    <x v="3"/>
    <n v="380"/>
    <n v="0"/>
    <n v="380"/>
    <n v="357000"/>
    <s v="No Discount"/>
    <x v="0"/>
  </r>
  <r>
    <s v="SL0121"/>
    <x v="37"/>
    <s v="P015"/>
    <s v="C008"/>
    <s v="S08"/>
    <n v="10"/>
    <n v="10"/>
    <x v="2"/>
    <x v="2"/>
    <n v="1850"/>
    <s v="Kavitha Kumar"/>
    <x v="4"/>
    <n v="18500"/>
    <n v="1850"/>
    <n v="16650"/>
    <n v="377200"/>
    <s v="Low Discount"/>
    <x v="0"/>
  </r>
  <r>
    <s v="SL0122"/>
    <x v="6"/>
    <s v="P001"/>
    <s v="C016"/>
    <s v="S06"/>
    <n v="3"/>
    <n v="15"/>
    <x v="1"/>
    <x v="1"/>
    <n v="320"/>
    <s v="Rekha Pillai"/>
    <x v="4"/>
    <n v="960"/>
    <n v="144"/>
    <n v="816"/>
    <n v="369600"/>
    <s v="High Discount"/>
    <x v="0"/>
  </r>
  <r>
    <s v="SL0123"/>
    <x v="15"/>
    <s v="P012"/>
    <s v="C009"/>
    <s v="S06"/>
    <n v="5"/>
    <n v="5"/>
    <x v="8"/>
    <x v="5"/>
    <n v="299"/>
    <s v="Suresh Ghosh"/>
    <x v="3"/>
    <n v="1495"/>
    <n v="74.75"/>
    <n v="1420.25"/>
    <n v="378000"/>
    <s v="Low Discount"/>
    <x v="0"/>
  </r>
  <r>
    <s v="SL0124"/>
    <x v="102"/>
    <s v="P001"/>
    <s v="C017"/>
    <s v="S04"/>
    <n v="2"/>
    <n v="5"/>
    <x v="1"/>
    <x v="1"/>
    <n v="320"/>
    <s v="Dinesh Yadav"/>
    <x v="0"/>
    <n v="640"/>
    <n v="32"/>
    <n v="608"/>
    <n v="528000"/>
    <s v="Low Discount"/>
    <x v="0"/>
  </r>
  <r>
    <s v="SL0125"/>
    <x v="84"/>
    <s v="P016"/>
    <s v="C018"/>
    <s v="S04"/>
    <n v="8"/>
    <n v="15"/>
    <x v="12"/>
    <x v="2"/>
    <n v="599"/>
    <s v="Sudha Sharma"/>
    <x v="1"/>
    <n v="4792"/>
    <n v="718.8"/>
    <n v="4073.2"/>
    <n v="393600"/>
    <s v="High Discount"/>
    <x v="0"/>
  </r>
  <r>
    <s v="SL0126"/>
    <x v="103"/>
    <s v="P001"/>
    <s v="C003"/>
    <s v="S05"/>
    <n v="4"/>
    <n v="10"/>
    <x v="1"/>
    <x v="1"/>
    <n v="320"/>
    <s v="Vikram Nair"/>
    <x v="1"/>
    <n v="1280"/>
    <n v="128"/>
    <n v="1152"/>
    <n v="646000"/>
    <s v="Low Discount"/>
    <x v="0"/>
  </r>
  <r>
    <s v="SL0127"/>
    <x v="104"/>
    <s v="P008"/>
    <s v="C010"/>
    <s v="S10"/>
    <n v="6"/>
    <n v="15"/>
    <x v="7"/>
    <x v="4"/>
    <n v="129"/>
    <s v="Rupa Devi"/>
    <x v="3"/>
    <n v="774"/>
    <n v="116.1"/>
    <n v="657.9"/>
    <n v="507000"/>
    <s v="High Discount"/>
    <x v="0"/>
  </r>
  <r>
    <s v="SL0128"/>
    <x v="52"/>
    <s v="P017"/>
    <s v="C012"/>
    <s v="S07"/>
    <n v="9"/>
    <n v="10"/>
    <x v="17"/>
    <x v="1"/>
    <n v="95"/>
    <s v="Anita Kapoor"/>
    <x v="2"/>
    <n v="855"/>
    <n v="85.5"/>
    <n v="769.5"/>
    <n v="748000"/>
    <s v="Low Discount"/>
    <x v="0"/>
  </r>
  <r>
    <s v="SL0129"/>
    <x v="105"/>
    <s v="P015"/>
    <s v="C009"/>
    <s v="S05"/>
    <n v="5"/>
    <n v="5"/>
    <x v="2"/>
    <x v="2"/>
    <n v="1850"/>
    <s v="Suresh Ghosh"/>
    <x v="3"/>
    <n v="9250"/>
    <n v="462.5"/>
    <n v="8787.5"/>
    <n v="668800"/>
    <s v="Low Discount"/>
    <x v="0"/>
  </r>
  <r>
    <s v="SL0130"/>
    <x v="29"/>
    <s v="P007"/>
    <s v="C011"/>
    <s v="S02"/>
    <n v="9"/>
    <n v="0"/>
    <x v="6"/>
    <x v="4"/>
    <n v="1499"/>
    <s v="Manish Joshi"/>
    <x v="0"/>
    <n v="13491"/>
    <n v="0"/>
    <n v="13491"/>
    <n v="494000"/>
    <s v="No Discount"/>
    <x v="0"/>
  </r>
  <r>
    <s v="SL0131"/>
    <x v="106"/>
    <s v="P007"/>
    <s v="C016"/>
    <s v="S05"/>
    <n v="10"/>
    <n v="20"/>
    <x v="6"/>
    <x v="4"/>
    <n v="1499"/>
    <s v="Rekha Pillai"/>
    <x v="4"/>
    <n v="14990"/>
    <n v="2998"/>
    <n v="11992"/>
    <n v="684000"/>
    <s v="High Discount"/>
    <x v="0"/>
  </r>
  <r>
    <s v="SL0132"/>
    <x v="19"/>
    <s v="P010"/>
    <s v="C004"/>
    <s v="S04"/>
    <n v="5"/>
    <n v="5"/>
    <x v="18"/>
    <x v="6"/>
    <n v="95"/>
    <s v="Sunita Rao"/>
    <x v="4"/>
    <n v="475"/>
    <n v="23.75"/>
    <n v="451.25"/>
    <n v="576000"/>
    <s v="Low Discount"/>
    <x v="0"/>
  </r>
  <r>
    <s v="SL0133"/>
    <x v="107"/>
    <s v="P006"/>
    <s v="C010"/>
    <s v="S01"/>
    <n v="9"/>
    <n v="0"/>
    <x v="10"/>
    <x v="4"/>
    <n v="32999"/>
    <s v="Rupa Devi"/>
    <x v="3"/>
    <n v="296991"/>
    <n v="0"/>
    <n v="296991"/>
    <n v="697000"/>
    <s v="No Discount"/>
    <x v="0"/>
  </r>
  <r>
    <s v="SL0134"/>
    <x v="81"/>
    <s v="P002"/>
    <s v="C002"/>
    <s v="S09"/>
    <n v="5"/>
    <n v="0"/>
    <x v="16"/>
    <x v="1"/>
    <n v="145"/>
    <s v="Priya Singh"/>
    <x v="2"/>
    <n v="725"/>
    <n v="0"/>
    <n v="725"/>
    <n v="653200"/>
    <s v="No Discount"/>
    <x v="0"/>
  </r>
  <r>
    <s v="SL0135"/>
    <x v="108"/>
    <s v="P016"/>
    <s v="C004"/>
    <s v="S01"/>
    <n v="10"/>
    <n v="5"/>
    <x v="12"/>
    <x v="2"/>
    <n v="599"/>
    <s v="Sunita Rao"/>
    <x v="4"/>
    <n v="5990"/>
    <n v="299.5"/>
    <n v="5690.5"/>
    <n v="1020000"/>
    <s v="Low Discount"/>
    <x v="0"/>
  </r>
  <r>
    <s v="SL0136"/>
    <x v="91"/>
    <s v="P016"/>
    <s v="C015"/>
    <s v="S06"/>
    <n v="3"/>
    <n v="0"/>
    <x v="12"/>
    <x v="2"/>
    <n v="599"/>
    <s v="Arun Banerjee"/>
    <x v="3"/>
    <n v="1797"/>
    <n v="0"/>
    <n v="1797"/>
    <n v="357000"/>
    <s v="No Discount"/>
    <x v="0"/>
  </r>
  <r>
    <s v="SL0137"/>
    <x v="109"/>
    <s v="P016"/>
    <s v="C004"/>
    <s v="S02"/>
    <n v="7"/>
    <n v="15"/>
    <x v="12"/>
    <x v="2"/>
    <n v="599"/>
    <s v="Sunita Rao"/>
    <x v="4"/>
    <n v="4193"/>
    <n v="628.94999999999993"/>
    <n v="3564.05"/>
    <n v="478400"/>
    <s v="High Discount"/>
    <x v="0"/>
  </r>
  <r>
    <s v="SL0138"/>
    <x v="110"/>
    <s v="P019"/>
    <s v="C002"/>
    <s v="S03"/>
    <n v="3"/>
    <n v="5"/>
    <x v="19"/>
    <x v="6"/>
    <n v="95"/>
    <s v="Priya Singh"/>
    <x v="2"/>
    <n v="285"/>
    <n v="14.25"/>
    <n v="270.75"/>
    <n v="809600"/>
    <s v="Low Discount"/>
    <x v="0"/>
  </r>
  <r>
    <s v="SL0139"/>
    <x v="111"/>
    <s v="P008"/>
    <s v="C004"/>
    <s v="S09"/>
    <n v="7"/>
    <n v="5"/>
    <x v="7"/>
    <x v="4"/>
    <n v="129"/>
    <s v="Sunita Rao"/>
    <x v="4"/>
    <n v="903"/>
    <n v="45.150000000000006"/>
    <n v="857.85"/>
    <n v="624800"/>
    <s v="Low Discount"/>
    <x v="0"/>
  </r>
  <r>
    <s v="SL0140"/>
    <x v="100"/>
    <s v="P013"/>
    <s v="C015"/>
    <s v="S08"/>
    <n v="5"/>
    <n v="10"/>
    <x v="5"/>
    <x v="3"/>
    <n v="2499"/>
    <s v="Arun Banerjee"/>
    <x v="3"/>
    <n v="12495"/>
    <n v="1249.5"/>
    <n v="11245.5"/>
    <n v="389500"/>
    <s v="Low Discount"/>
    <x v="0"/>
  </r>
  <r>
    <s v="SL0141"/>
    <x v="64"/>
    <s v="P019"/>
    <s v="C020"/>
    <s v="S01"/>
    <n v="10"/>
    <n v="0"/>
    <x v="19"/>
    <x v="6"/>
    <n v="95"/>
    <s v="Lalita Das"/>
    <x v="3"/>
    <n v="950"/>
    <n v="0"/>
    <n v="950"/>
    <n v="748000"/>
    <s v="No Discount"/>
    <x v="0"/>
  </r>
  <r>
    <s v="SL0142"/>
    <x v="112"/>
    <s v="P007"/>
    <s v="C009"/>
    <s v="S02"/>
    <n v="3"/>
    <n v="5"/>
    <x v="6"/>
    <x v="4"/>
    <n v="1499"/>
    <s v="Suresh Ghosh"/>
    <x v="3"/>
    <n v="4497"/>
    <n v="224.85000000000002"/>
    <n v="4272.1499999999996"/>
    <n v="468000"/>
    <s v="Low Discount"/>
    <x v="0"/>
  </r>
  <r>
    <s v="SL0143"/>
    <x v="113"/>
    <s v="P018"/>
    <s v="C003"/>
    <s v="S03"/>
    <n v="1"/>
    <n v="10"/>
    <x v="15"/>
    <x v="1"/>
    <n v="180"/>
    <s v="Vikram Nair"/>
    <x v="1"/>
    <n v="180"/>
    <n v="18"/>
    <n v="162"/>
    <n v="874000"/>
    <s v="Low Discount"/>
    <x v="0"/>
  </r>
  <r>
    <s v="SL0144"/>
    <x v="114"/>
    <s v="P020"/>
    <s v="C016"/>
    <s v="S05"/>
    <n v="1"/>
    <n v="5"/>
    <x v="4"/>
    <x v="3"/>
    <n v="3499"/>
    <s v="Rekha Pillai"/>
    <x v="4"/>
    <n v="3499"/>
    <n v="174.95000000000002"/>
    <n v="3324.05"/>
    <n v="646000"/>
    <s v="Low Discount"/>
    <x v="0"/>
  </r>
  <r>
    <s v="SL0145"/>
    <x v="115"/>
    <s v="P010"/>
    <s v="C015"/>
    <s v="S02"/>
    <n v="4"/>
    <n v="5"/>
    <x v="18"/>
    <x v="6"/>
    <n v="95"/>
    <s v="Arun Banerjee"/>
    <x v="3"/>
    <n v="380"/>
    <n v="19"/>
    <n v="361"/>
    <n v="478400"/>
    <s v="Low Discount"/>
    <x v="0"/>
  </r>
  <r>
    <s v="SL0146"/>
    <x v="116"/>
    <s v="P019"/>
    <s v="C007"/>
    <s v="S07"/>
    <n v="2"/>
    <n v="20"/>
    <x v="19"/>
    <x v="6"/>
    <n v="95"/>
    <s v="Arjun Patel"/>
    <x v="1"/>
    <n v="190"/>
    <n v="38"/>
    <n v="152"/>
    <n v="816000"/>
    <s v="High Discount"/>
    <x v="0"/>
  </r>
  <r>
    <s v="SL0147"/>
    <x v="117"/>
    <s v="P005"/>
    <s v="C009"/>
    <s v="S03"/>
    <n v="2"/>
    <n v="0"/>
    <x v="14"/>
    <x v="0"/>
    <n v="68"/>
    <s v="Suresh Ghosh"/>
    <x v="3"/>
    <n v="136"/>
    <n v="0"/>
    <n v="136"/>
    <n v="828000"/>
    <s v="No Discount"/>
    <x v="0"/>
  </r>
  <r>
    <s v="SL0148"/>
    <x v="118"/>
    <s v="P010"/>
    <s v="C020"/>
    <s v="S10"/>
    <n v="5"/>
    <n v="15"/>
    <x v="18"/>
    <x v="6"/>
    <n v="95"/>
    <s v="Lalita Das"/>
    <x v="3"/>
    <n v="475"/>
    <n v="71.25"/>
    <n v="403.75"/>
    <n v="370500"/>
    <s v="High Discount"/>
    <x v="0"/>
  </r>
  <r>
    <s v="SL0149"/>
    <x v="8"/>
    <s v="P015"/>
    <s v="C010"/>
    <s v="S07"/>
    <n v="5"/>
    <n v="20"/>
    <x v="2"/>
    <x v="2"/>
    <n v="1850"/>
    <s v="Rupa Devi"/>
    <x v="3"/>
    <n v="9250"/>
    <n v="1850"/>
    <n v="7400"/>
    <n v="646000"/>
    <s v="High Discount"/>
    <x v="0"/>
  </r>
  <r>
    <s v="SL0150"/>
    <x v="32"/>
    <s v="P016"/>
    <s v="C015"/>
    <s v="S02"/>
    <n v="10"/>
    <n v="0"/>
    <x v="12"/>
    <x v="2"/>
    <n v="599"/>
    <s v="Arun Banerjee"/>
    <x v="3"/>
    <n v="5990"/>
    <n v="0"/>
    <n v="5990"/>
    <n v="572000"/>
    <s v="No Discount"/>
    <x v="0"/>
  </r>
  <r>
    <s v="SL0151"/>
    <x v="99"/>
    <s v="P011"/>
    <s v="C020"/>
    <s v="S05"/>
    <n v="1"/>
    <n v="0"/>
    <x v="11"/>
    <x v="5"/>
    <n v="350"/>
    <s v="Lalita Das"/>
    <x v="3"/>
    <n v="350"/>
    <n v="0"/>
    <n v="350"/>
    <n v="646000"/>
    <s v="No Discount"/>
    <x v="0"/>
  </r>
  <r>
    <s v="SL0152"/>
    <x v="119"/>
    <s v="P019"/>
    <s v="C019"/>
    <s v="S01"/>
    <n v="5"/>
    <n v="0"/>
    <x v="19"/>
    <x v="6"/>
    <n v="95"/>
    <s v="Kiran Reddy"/>
    <x v="2"/>
    <n v="475"/>
    <n v="0"/>
    <n v="475"/>
    <n v="765000"/>
    <s v="No Discount"/>
    <x v="0"/>
  </r>
  <r>
    <s v="SL0153"/>
    <x v="120"/>
    <s v="P016"/>
    <s v="C017"/>
    <s v="S08"/>
    <n v="5"/>
    <n v="0"/>
    <x v="12"/>
    <x v="2"/>
    <n v="599"/>
    <s v="Dinesh Yadav"/>
    <x v="0"/>
    <n v="2995"/>
    <n v="0"/>
    <n v="2995"/>
    <n v="389500"/>
    <s v="No Discount"/>
    <x v="0"/>
  </r>
  <r>
    <s v="SL0154"/>
    <x v="121"/>
    <s v="P014"/>
    <s v="C016"/>
    <s v="S02"/>
    <n v="8"/>
    <n v="10"/>
    <x v="3"/>
    <x v="3"/>
    <n v="1299"/>
    <s v="Rekha Pillai"/>
    <x v="4"/>
    <n v="10392"/>
    <n v="1039.2"/>
    <n v="9352.7999999999993"/>
    <n v="572000"/>
    <s v="Low Discount"/>
    <x v="0"/>
  </r>
  <r>
    <s v="SL0155"/>
    <x v="122"/>
    <s v="P011"/>
    <s v="C011"/>
    <s v="S02"/>
    <n v="3"/>
    <n v="10"/>
    <x v="11"/>
    <x v="5"/>
    <n v="350"/>
    <s v="Manish Joshi"/>
    <x v="0"/>
    <n v="1050"/>
    <n v="105"/>
    <n v="945"/>
    <n v="426400"/>
    <s v="Low Discount"/>
    <x v="0"/>
  </r>
  <r>
    <s v="SL0156"/>
    <x v="123"/>
    <s v="P016"/>
    <s v="C010"/>
    <s v="S07"/>
    <n v="9"/>
    <n v="0"/>
    <x v="12"/>
    <x v="2"/>
    <n v="599"/>
    <s v="Rupa Devi"/>
    <x v="3"/>
    <n v="5391"/>
    <n v="0"/>
    <n v="5391"/>
    <n v="557600"/>
    <s v="No Discount"/>
    <x v="0"/>
  </r>
  <r>
    <s v="SL0157"/>
    <x v="41"/>
    <s v="P003"/>
    <s v="C011"/>
    <s v="S05"/>
    <n v="6"/>
    <n v="0"/>
    <x v="13"/>
    <x v="1"/>
    <n v="165"/>
    <s v="Manish Joshi"/>
    <x v="0"/>
    <n v="990"/>
    <n v="0"/>
    <n v="990"/>
    <n v="646000"/>
    <s v="No Discount"/>
    <x v="0"/>
  </r>
  <r>
    <s v="SL0158"/>
    <x v="124"/>
    <s v="P017"/>
    <s v="C001"/>
    <s v="S09"/>
    <n v="8"/>
    <n v="10"/>
    <x v="17"/>
    <x v="1"/>
    <n v="95"/>
    <s v="Aarav Sharma"/>
    <x v="0"/>
    <n v="760"/>
    <n v="76"/>
    <n v="684"/>
    <n v="582100"/>
    <s v="Low Discount"/>
    <x v="0"/>
  </r>
  <r>
    <s v="SL0159"/>
    <x v="125"/>
    <s v="P007"/>
    <s v="C017"/>
    <s v="S06"/>
    <n v="10"/>
    <n v="15"/>
    <x v="6"/>
    <x v="4"/>
    <n v="1499"/>
    <s v="Dinesh Yadav"/>
    <x v="0"/>
    <n v="14990"/>
    <n v="2248.5"/>
    <n v="12741.5"/>
    <n v="357000"/>
    <s v="High Discount"/>
    <x v="0"/>
  </r>
  <r>
    <s v="SL0160"/>
    <x v="116"/>
    <s v="P015"/>
    <s v="C002"/>
    <s v="S04"/>
    <n v="5"/>
    <n v="20"/>
    <x v="2"/>
    <x v="2"/>
    <n v="1850"/>
    <s v="Priya Singh"/>
    <x v="2"/>
    <n v="9250"/>
    <n v="1850"/>
    <n v="7400"/>
    <n v="576000"/>
    <s v="High Discount"/>
    <x v="0"/>
  </r>
  <r>
    <s v="SL0161"/>
    <x v="126"/>
    <s v="P010"/>
    <s v="C015"/>
    <s v="S08"/>
    <n v="2"/>
    <n v="0"/>
    <x v="18"/>
    <x v="6"/>
    <n v="95"/>
    <s v="Arun Banerjee"/>
    <x v="3"/>
    <n v="190"/>
    <n v="0"/>
    <n v="190"/>
    <n v="389500"/>
    <s v="No Discount"/>
    <x v="0"/>
  </r>
  <r>
    <s v="SL0162"/>
    <x v="127"/>
    <s v="P020"/>
    <s v="C008"/>
    <s v="S03"/>
    <n v="5"/>
    <n v="20"/>
    <x v="4"/>
    <x v="3"/>
    <n v="3499"/>
    <s v="Kavitha Kumar"/>
    <x v="4"/>
    <n v="17495"/>
    <n v="3499"/>
    <n v="13996"/>
    <n v="1104000"/>
    <s v="High Discount"/>
    <x v="0"/>
  </r>
  <r>
    <s v="SL0163"/>
    <x v="128"/>
    <s v="P018"/>
    <s v="C014"/>
    <s v="S02"/>
    <n v="4"/>
    <n v="0"/>
    <x v="15"/>
    <x v="1"/>
    <n v="180"/>
    <s v="Pooja Verma"/>
    <x v="1"/>
    <n v="720"/>
    <n v="0"/>
    <n v="720"/>
    <n v="442000"/>
    <s v="No Discount"/>
    <x v="0"/>
  </r>
  <r>
    <s v="SL0164"/>
    <x v="129"/>
    <s v="P004"/>
    <s v="C005"/>
    <s v="S08"/>
    <n v="5"/>
    <n v="20"/>
    <x v="0"/>
    <x v="0"/>
    <n v="275"/>
    <s v="Rohan Gupta"/>
    <x v="0"/>
    <n v="1375"/>
    <n v="275"/>
    <n v="1100"/>
    <n v="348500"/>
    <s v="High Discount"/>
    <x v="0"/>
  </r>
  <r>
    <s v="SL0165"/>
    <x v="56"/>
    <s v="P009"/>
    <s v="C014"/>
    <s v="S08"/>
    <n v="8"/>
    <n v="5"/>
    <x v="9"/>
    <x v="6"/>
    <n v="210"/>
    <s v="Pooja Verma"/>
    <x v="1"/>
    <n v="1680"/>
    <n v="84"/>
    <n v="1596"/>
    <n v="533000"/>
    <s v="Low Discount"/>
    <x v="0"/>
  </r>
  <r>
    <s v="SL0166"/>
    <x v="77"/>
    <s v="P018"/>
    <s v="C005"/>
    <s v="S07"/>
    <n v="4"/>
    <n v="20"/>
    <x v="15"/>
    <x v="1"/>
    <n v="180"/>
    <s v="Rohan Gupta"/>
    <x v="0"/>
    <n v="720"/>
    <n v="144"/>
    <n v="576"/>
    <n v="578000"/>
    <s v="High Discount"/>
    <x v="0"/>
  </r>
  <r>
    <s v="SL0167"/>
    <x v="130"/>
    <s v="P003"/>
    <s v="C009"/>
    <s v="S07"/>
    <n v="6"/>
    <n v="20"/>
    <x v="13"/>
    <x v="1"/>
    <n v="165"/>
    <s v="Suresh Ghosh"/>
    <x v="3"/>
    <n v="990"/>
    <n v="198"/>
    <n v="792"/>
    <n v="646000"/>
    <s v="High Discount"/>
    <x v="0"/>
  </r>
  <r>
    <s v="SL0168"/>
    <x v="131"/>
    <s v="P001"/>
    <s v="C010"/>
    <s v="S05"/>
    <n v="10"/>
    <n v="15"/>
    <x v="1"/>
    <x v="1"/>
    <n v="320"/>
    <s v="Rupa Devi"/>
    <x v="3"/>
    <n v="3200"/>
    <n v="480"/>
    <n v="2720"/>
    <n v="699200"/>
    <s v="High Discount"/>
    <x v="0"/>
  </r>
  <r>
    <s v="SL0169"/>
    <x v="132"/>
    <s v="P015"/>
    <s v="C018"/>
    <s v="S08"/>
    <n v="6"/>
    <n v="10"/>
    <x v="2"/>
    <x v="2"/>
    <n v="1850"/>
    <s v="Sudha Sharma"/>
    <x v="1"/>
    <n v="11100"/>
    <n v="1110"/>
    <n v="9990"/>
    <n v="389500"/>
    <s v="Low Discount"/>
    <x v="0"/>
  </r>
  <r>
    <s v="SL0170"/>
    <x v="133"/>
    <s v="P018"/>
    <s v="C013"/>
    <s v="S08"/>
    <n v="6"/>
    <n v="5"/>
    <x v="15"/>
    <x v="1"/>
    <n v="180"/>
    <s v="Sanjay Iyer"/>
    <x v="4"/>
    <n v="1080"/>
    <n v="54"/>
    <n v="1026"/>
    <n v="451000"/>
    <s v="Low Discount"/>
    <x v="0"/>
  </r>
  <r>
    <s v="SL0171"/>
    <x v="5"/>
    <s v="P008"/>
    <s v="C019"/>
    <s v="S07"/>
    <n v="4"/>
    <n v="10"/>
    <x v="7"/>
    <x v="4"/>
    <n v="129"/>
    <s v="Kiran Reddy"/>
    <x v="2"/>
    <n v="516"/>
    <n v="51.6"/>
    <n v="464.4"/>
    <n v="884000"/>
    <s v="Low Discount"/>
    <x v="0"/>
  </r>
  <r>
    <s v="SL0172"/>
    <x v="134"/>
    <s v="P011"/>
    <s v="C016"/>
    <s v="S07"/>
    <n v="7"/>
    <n v="0"/>
    <x v="11"/>
    <x v="5"/>
    <n v="350"/>
    <s v="Rekha Pillai"/>
    <x v="4"/>
    <n v="2450"/>
    <n v="0"/>
    <n v="2450"/>
    <n v="578000"/>
    <s v="No Discount"/>
    <x v="0"/>
  </r>
  <r>
    <s v="SL0173"/>
    <x v="135"/>
    <s v="P002"/>
    <s v="C005"/>
    <s v="S09"/>
    <n v="10"/>
    <n v="10"/>
    <x v="16"/>
    <x v="1"/>
    <n v="145"/>
    <s v="Rohan Gupta"/>
    <x v="0"/>
    <n v="1450"/>
    <n v="145"/>
    <n v="1305"/>
    <n v="674500"/>
    <s v="Low Discount"/>
    <x v="0"/>
  </r>
  <r>
    <s v="SL0174"/>
    <x v="136"/>
    <s v="P015"/>
    <s v="C004"/>
    <s v="S09"/>
    <n v="8"/>
    <n v="0"/>
    <x v="2"/>
    <x v="2"/>
    <n v="1850"/>
    <s v="Sunita Rao"/>
    <x v="4"/>
    <n v="14800"/>
    <n v="0"/>
    <n v="14800"/>
    <n v="624800"/>
    <s v="No Discount"/>
    <x v="0"/>
  </r>
  <r>
    <s v="SL0175"/>
    <x v="137"/>
    <s v="P014"/>
    <s v="C005"/>
    <s v="S02"/>
    <n v="8"/>
    <n v="5"/>
    <x v="3"/>
    <x v="3"/>
    <n v="1299"/>
    <s v="Rohan Gupta"/>
    <x v="0"/>
    <n v="10392"/>
    <n v="519.6"/>
    <n v="9872.4"/>
    <n v="494000"/>
    <s v="Low Discount"/>
    <x v="0"/>
  </r>
  <r>
    <s v="SL0176"/>
    <x v="138"/>
    <s v="P020"/>
    <s v="C013"/>
    <s v="S02"/>
    <n v="6"/>
    <n v="20"/>
    <x v="4"/>
    <x v="3"/>
    <n v="3499"/>
    <s v="Sanjay Iyer"/>
    <x v="4"/>
    <n v="20994"/>
    <n v="4198.8"/>
    <n v="16795.2"/>
    <n v="457600"/>
    <s v="High Discount"/>
    <x v="0"/>
  </r>
  <r>
    <s v="SL0177"/>
    <x v="139"/>
    <s v="P011"/>
    <s v="C016"/>
    <s v="S09"/>
    <n v="1"/>
    <n v="0"/>
    <x v="11"/>
    <x v="5"/>
    <n v="350"/>
    <s v="Rekha Pillai"/>
    <x v="4"/>
    <n v="350"/>
    <n v="0"/>
    <n v="350"/>
    <n v="582100"/>
    <s v="No Discount"/>
    <x v="0"/>
  </r>
  <r>
    <s v="SL0178"/>
    <x v="140"/>
    <s v="P010"/>
    <s v="C008"/>
    <s v="S02"/>
    <n v="7"/>
    <n v="0"/>
    <x v="18"/>
    <x v="6"/>
    <n v="95"/>
    <s v="Kavitha Kumar"/>
    <x v="4"/>
    <n v="665"/>
    <n v="0"/>
    <n v="665"/>
    <n v="478400"/>
    <s v="No Discount"/>
    <x v="0"/>
  </r>
  <r>
    <s v="SL0179"/>
    <x v="141"/>
    <s v="P004"/>
    <s v="C015"/>
    <s v="S03"/>
    <n v="5"/>
    <n v="0"/>
    <x v="0"/>
    <x v="0"/>
    <n v="275"/>
    <s v="Arun Banerjee"/>
    <x v="3"/>
    <n v="1375"/>
    <n v="0"/>
    <n v="1375"/>
    <n v="1104000"/>
    <s v="No Discount"/>
    <x v="0"/>
  </r>
  <r>
    <s v="SL0180"/>
    <x v="142"/>
    <s v="P011"/>
    <s v="C002"/>
    <s v="S05"/>
    <n v="6"/>
    <n v="10"/>
    <x v="11"/>
    <x v="5"/>
    <n v="350"/>
    <s v="Priya Singh"/>
    <x v="2"/>
    <n v="2100"/>
    <n v="210"/>
    <n v="1890"/>
    <n v="646000"/>
    <s v="Low Discount"/>
    <x v="0"/>
  </r>
  <r>
    <s v="SL0181"/>
    <x v="143"/>
    <s v="P005"/>
    <s v="C008"/>
    <s v="S09"/>
    <n v="7"/>
    <n v="0"/>
    <x v="14"/>
    <x v="0"/>
    <n v="68"/>
    <s v="Kavitha Kumar"/>
    <x v="4"/>
    <n v="476"/>
    <n v="0"/>
    <n v="476"/>
    <n v="603500"/>
    <s v="No Discount"/>
    <x v="0"/>
  </r>
  <r>
    <s v="SL0182"/>
    <x v="144"/>
    <s v="P006"/>
    <s v="C003"/>
    <s v="S10"/>
    <n v="7"/>
    <n v="5"/>
    <x v="10"/>
    <x v="4"/>
    <n v="32999"/>
    <s v="Vikram Nair"/>
    <x v="1"/>
    <n v="230993"/>
    <n v="11549.650000000001"/>
    <n v="219443.35"/>
    <n v="370500"/>
    <s v="Low Discount"/>
    <x v="1"/>
  </r>
  <r>
    <s v="SL0183"/>
    <x v="145"/>
    <s v="P019"/>
    <s v="C005"/>
    <s v="S04"/>
    <n v="8"/>
    <n v="5"/>
    <x v="19"/>
    <x v="6"/>
    <n v="95"/>
    <s v="Rohan Gupta"/>
    <x v="0"/>
    <n v="760"/>
    <n v="38"/>
    <n v="722"/>
    <n v="456000"/>
    <s v="Low Discount"/>
    <x v="0"/>
  </r>
  <r>
    <s v="SL0184"/>
    <x v="146"/>
    <s v="P009"/>
    <s v="C001"/>
    <s v="S08"/>
    <n v="5"/>
    <n v="20"/>
    <x v="9"/>
    <x v="6"/>
    <n v="210"/>
    <s v="Aarav Sharma"/>
    <x v="0"/>
    <n v="1050"/>
    <n v="210"/>
    <n v="840"/>
    <n v="348500"/>
    <s v="High Discount"/>
    <x v="0"/>
  </r>
  <r>
    <s v="SL0185"/>
    <x v="147"/>
    <s v="P003"/>
    <s v="C015"/>
    <s v="S06"/>
    <n v="10"/>
    <n v="5"/>
    <x v="13"/>
    <x v="1"/>
    <n v="165"/>
    <s v="Arun Banerjee"/>
    <x v="3"/>
    <n v="1650"/>
    <n v="82.5"/>
    <n v="1567.5"/>
    <n v="399000"/>
    <s v="Low Discount"/>
    <x v="0"/>
  </r>
  <r>
    <s v="SL0186"/>
    <x v="0"/>
    <s v="P014"/>
    <s v="C009"/>
    <s v="S08"/>
    <n v="5"/>
    <n v="5"/>
    <x v="3"/>
    <x v="3"/>
    <n v="1299"/>
    <s v="Suresh Ghosh"/>
    <x v="3"/>
    <n v="6495"/>
    <n v="324.75"/>
    <n v="6170.25"/>
    <n v="492000"/>
    <s v="Low Discount"/>
    <x v="0"/>
  </r>
  <r>
    <s v="SL0187"/>
    <x v="148"/>
    <s v="P016"/>
    <s v="C004"/>
    <s v="S04"/>
    <n v="7"/>
    <n v="10"/>
    <x v="12"/>
    <x v="2"/>
    <n v="599"/>
    <s v="Sunita Rao"/>
    <x v="4"/>
    <n v="4193"/>
    <n v="419.3"/>
    <n v="3773.7"/>
    <n v="393600"/>
    <s v="Low Discount"/>
    <x v="0"/>
  </r>
  <r>
    <s v="SL0188"/>
    <x v="149"/>
    <s v="P010"/>
    <s v="C010"/>
    <s v="S01"/>
    <n v="7"/>
    <n v="5"/>
    <x v="18"/>
    <x v="6"/>
    <n v="95"/>
    <s v="Rupa Devi"/>
    <x v="3"/>
    <n v="665"/>
    <n v="33.25"/>
    <n v="631.75"/>
    <n v="935000"/>
    <s v="Low Discount"/>
    <x v="0"/>
  </r>
  <r>
    <s v="SL0189"/>
    <x v="47"/>
    <s v="P019"/>
    <s v="C002"/>
    <s v="S10"/>
    <n v="8"/>
    <n v="5"/>
    <x v="19"/>
    <x v="6"/>
    <n v="95"/>
    <s v="Priya Singh"/>
    <x v="2"/>
    <n v="760"/>
    <n v="38"/>
    <n v="722"/>
    <n v="331500"/>
    <s v="Low Discount"/>
    <x v="0"/>
  </r>
  <r>
    <s v="SL0190"/>
    <x v="119"/>
    <s v="P020"/>
    <s v="C012"/>
    <s v="S04"/>
    <n v="4"/>
    <n v="5"/>
    <x v="4"/>
    <x v="3"/>
    <n v="3499"/>
    <s v="Anita Kapoor"/>
    <x v="2"/>
    <n v="13996"/>
    <n v="699.80000000000007"/>
    <n v="13296.2"/>
    <n v="432000"/>
    <s v="Low Discount"/>
    <x v="0"/>
  </r>
  <r>
    <s v="SL0191"/>
    <x v="150"/>
    <s v="P005"/>
    <s v="C004"/>
    <s v="S01"/>
    <n v="5"/>
    <n v="15"/>
    <x v="14"/>
    <x v="0"/>
    <n v="68"/>
    <s v="Sunita Rao"/>
    <x v="4"/>
    <n v="340"/>
    <n v="51"/>
    <n v="289"/>
    <n v="1105000"/>
    <s v="High Discount"/>
    <x v="0"/>
  </r>
  <r>
    <s v="SL0192"/>
    <x v="151"/>
    <s v="P019"/>
    <s v="C012"/>
    <s v="S03"/>
    <n v="2"/>
    <n v="5"/>
    <x v="19"/>
    <x v="6"/>
    <n v="95"/>
    <s v="Anita Kapoor"/>
    <x v="2"/>
    <n v="190"/>
    <n v="9.5"/>
    <n v="180.5"/>
    <n v="782000"/>
    <s v="Low Discount"/>
    <x v="0"/>
  </r>
  <r>
    <s v="SL0193"/>
    <x v="152"/>
    <s v="P014"/>
    <s v="C006"/>
    <s v="S04"/>
    <n v="3"/>
    <n v="20"/>
    <x v="3"/>
    <x v="3"/>
    <n v="1299"/>
    <s v="Deepa Menon"/>
    <x v="2"/>
    <n v="3897"/>
    <n v="779.40000000000009"/>
    <n v="3117.6"/>
    <n v="422400"/>
    <s v="High Discount"/>
    <x v="0"/>
  </r>
  <r>
    <s v="SL0194"/>
    <x v="153"/>
    <s v="P017"/>
    <s v="C017"/>
    <s v="S05"/>
    <n v="3"/>
    <n v="5"/>
    <x v="17"/>
    <x v="1"/>
    <n v="95"/>
    <s v="Dinesh Yadav"/>
    <x v="0"/>
    <n v="285"/>
    <n v="14.25"/>
    <n v="270.75"/>
    <n v="623200"/>
    <s v="Low Discount"/>
    <x v="0"/>
  </r>
  <r>
    <s v="SL0195"/>
    <x v="154"/>
    <s v="P010"/>
    <s v="C011"/>
    <s v="S02"/>
    <n v="8"/>
    <n v="0"/>
    <x v="18"/>
    <x v="6"/>
    <n v="95"/>
    <s v="Manish Joshi"/>
    <x v="0"/>
    <n v="760"/>
    <n v="0"/>
    <n v="760"/>
    <n v="494000"/>
    <s v="No Discount"/>
    <x v="0"/>
  </r>
  <r>
    <s v="SL0196"/>
    <x v="155"/>
    <s v="P008"/>
    <s v="C013"/>
    <s v="S09"/>
    <n v="6"/>
    <n v="0"/>
    <x v="7"/>
    <x v="4"/>
    <n v="129"/>
    <s v="Sanjay Iyer"/>
    <x v="4"/>
    <n v="774"/>
    <n v="0"/>
    <n v="774"/>
    <n v="674500"/>
    <s v="No Discount"/>
    <x v="0"/>
  </r>
  <r>
    <s v="SL0197"/>
    <x v="46"/>
    <s v="P001"/>
    <s v="C009"/>
    <s v="S09"/>
    <n v="2"/>
    <n v="15"/>
    <x v="1"/>
    <x v="1"/>
    <n v="320"/>
    <s v="Suresh Ghosh"/>
    <x v="3"/>
    <n v="640"/>
    <n v="96"/>
    <n v="544"/>
    <n v="582100"/>
    <s v="High Discount"/>
    <x v="0"/>
  </r>
  <r>
    <s v="SL0198"/>
    <x v="94"/>
    <s v="P009"/>
    <s v="C019"/>
    <s v="S07"/>
    <n v="6"/>
    <n v="0"/>
    <x v="9"/>
    <x v="6"/>
    <n v="210"/>
    <s v="Kiran Reddy"/>
    <x v="2"/>
    <n v="1260"/>
    <n v="0"/>
    <n v="1260"/>
    <n v="557600"/>
    <s v="No Discount"/>
    <x v="0"/>
  </r>
  <r>
    <s v="SL0199"/>
    <x v="156"/>
    <s v="P008"/>
    <s v="C016"/>
    <s v="S01"/>
    <n v="10"/>
    <n v="20"/>
    <x v="7"/>
    <x v="4"/>
    <n v="129"/>
    <s v="Rekha Pillai"/>
    <x v="4"/>
    <n v="1290"/>
    <n v="258"/>
    <n v="1032"/>
    <n v="1105000"/>
    <s v="High Discount"/>
    <x v="0"/>
  </r>
  <r>
    <s v="SL0200"/>
    <x v="152"/>
    <s v="P020"/>
    <s v="C008"/>
    <s v="S02"/>
    <n v="8"/>
    <n v="5"/>
    <x v="4"/>
    <x v="3"/>
    <n v="3499"/>
    <s v="Kavitha Kumar"/>
    <x v="4"/>
    <n v="27992"/>
    <n v="1399.6000000000001"/>
    <n v="26592.400000000001"/>
    <n v="457600"/>
    <s v="Low Discount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B9BB2E-0EAD-4030-8867-D543690AC118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rowHeaderCaption="ProductName">
  <location ref="A27:B38" firstHeaderRow="1" firstDataRow="1" firstDataCol="1"/>
  <pivotFields count="19">
    <pivotField showAll="0"/>
    <pivotField numFmtId="14" showAll="0">
      <items count="158">
        <item x="69"/>
        <item x="47"/>
        <item x="128"/>
        <item x="93"/>
        <item x="76"/>
        <item x="88"/>
        <item x="2"/>
        <item x="151"/>
        <item x="63"/>
        <item x="59"/>
        <item x="134"/>
        <item x="142"/>
        <item x="54"/>
        <item x="125"/>
        <item x="40"/>
        <item x="35"/>
        <item x="49"/>
        <item x="31"/>
        <item x="110"/>
        <item x="10"/>
        <item x="111"/>
        <item x="75"/>
        <item x="38"/>
        <item x="136"/>
        <item x="24"/>
        <item x="29"/>
        <item x="8"/>
        <item x="26"/>
        <item x="126"/>
        <item x="130"/>
        <item x="1"/>
        <item x="155"/>
        <item x="137"/>
        <item x="58"/>
        <item x="132"/>
        <item x="147"/>
        <item x="118"/>
        <item x="39"/>
        <item x="74"/>
        <item x="144"/>
        <item x="113"/>
        <item x="120"/>
        <item x="61"/>
        <item x="67"/>
        <item x="43"/>
        <item x="36"/>
        <item x="106"/>
        <item x="85"/>
        <item x="112"/>
        <item x="15"/>
        <item x="4"/>
        <item x="117"/>
        <item x="119"/>
        <item x="83"/>
        <item x="140"/>
        <item x="13"/>
        <item x="78"/>
        <item x="109"/>
        <item x="80"/>
        <item x="90"/>
        <item x="131"/>
        <item x="87"/>
        <item x="81"/>
        <item x="37"/>
        <item x="115"/>
        <item x="20"/>
        <item x="51"/>
        <item x="72"/>
        <item x="64"/>
        <item x="28"/>
        <item x="45"/>
        <item x="152"/>
        <item x="65"/>
        <item x="55"/>
        <item x="82"/>
        <item x="6"/>
        <item x="138"/>
        <item x="53"/>
        <item x="7"/>
        <item x="97"/>
        <item x="105"/>
        <item x="34"/>
        <item x="107"/>
        <item x="153"/>
        <item x="94"/>
        <item x="139"/>
        <item x="148"/>
        <item x="68"/>
        <item x="46"/>
        <item x="95"/>
        <item x="66"/>
        <item x="14"/>
        <item x="124"/>
        <item x="84"/>
        <item x="122"/>
        <item x="123"/>
        <item x="79"/>
        <item x="143"/>
        <item x="99"/>
        <item x="101"/>
        <item x="103"/>
        <item x="114"/>
        <item x="41"/>
        <item x="77"/>
        <item x="146"/>
        <item x="129"/>
        <item x="73"/>
        <item x="91"/>
        <item x="33"/>
        <item x="86"/>
        <item x="154"/>
        <item x="17"/>
        <item x="135"/>
        <item x="145"/>
        <item x="21"/>
        <item x="42"/>
        <item x="70"/>
        <item x="100"/>
        <item x="27"/>
        <item x="23"/>
        <item x="48"/>
        <item x="32"/>
        <item x="50"/>
        <item x="133"/>
        <item x="52"/>
        <item x="102"/>
        <item x="60"/>
        <item x="25"/>
        <item x="149"/>
        <item x="9"/>
        <item x="16"/>
        <item x="121"/>
        <item x="30"/>
        <item x="19"/>
        <item x="3"/>
        <item x="22"/>
        <item x="71"/>
        <item x="44"/>
        <item x="116"/>
        <item x="127"/>
        <item x="141"/>
        <item x="11"/>
        <item x="108"/>
        <item x="0"/>
        <item x="89"/>
        <item x="98"/>
        <item x="92"/>
        <item x="62"/>
        <item x="12"/>
        <item x="156"/>
        <item x="150"/>
        <item x="18"/>
        <item x="57"/>
        <item x="104"/>
        <item x="96"/>
        <item x="5"/>
        <item x="56"/>
        <item t="default"/>
      </items>
    </pivotField>
    <pivotField showAll="0"/>
    <pivotField showAll="0"/>
    <pivotField showAll="0"/>
    <pivotField showAll="0"/>
    <pivotField showAll="0"/>
    <pivotField axis="axisRow" showAll="0" measureFilter="1">
      <items count="21">
        <item x="0"/>
        <item x="14"/>
        <item x="1"/>
        <item x="6"/>
        <item x="19"/>
        <item x="18"/>
        <item x="8"/>
        <item x="11"/>
        <item x="5"/>
        <item x="15"/>
        <item x="12"/>
        <item x="3"/>
        <item x="17"/>
        <item x="7"/>
        <item x="2"/>
        <item x="10"/>
        <item x="13"/>
        <item x="9"/>
        <item x="16"/>
        <item x="4"/>
        <item t="default"/>
      </items>
    </pivotField>
    <pivotField showAll="0"/>
    <pivotField numFmtId="164" showAll="0"/>
    <pivotField showAll="0"/>
    <pivotField showAll="0"/>
    <pivotField numFmtId="164" showAll="0"/>
    <pivotField numFmtId="164" showAll="0"/>
    <pivotField dataField="1" numFmtId="164"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7"/>
  </rowFields>
  <rowItems count="11">
    <i>
      <x/>
    </i>
    <i>
      <x v="2"/>
    </i>
    <i>
      <x v="3"/>
    </i>
    <i>
      <x v="7"/>
    </i>
    <i>
      <x v="8"/>
    </i>
    <i>
      <x v="10"/>
    </i>
    <i>
      <x v="11"/>
    </i>
    <i>
      <x v="14"/>
    </i>
    <i>
      <x v="15"/>
    </i>
    <i>
      <x v="19"/>
    </i>
    <i t="grand">
      <x/>
    </i>
  </rowItems>
  <colItems count="1">
    <i/>
  </colItems>
  <dataFields count="1">
    <dataField name="Revenue" fld="14" baseField="7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ED24DC-DB69-425E-AE50-B2CA1EE53E80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rowHeaderCaption="City">
  <location ref="A1:N8" firstHeaderRow="1" firstDataRow="2" firstDataCol="1"/>
  <pivotFields count="19">
    <pivotField showAll="0"/>
    <pivotField showAll="0" includeNewItemsInFilter="1" nonAutoSortDefault="1">
      <items count="158">
        <item x="69"/>
        <item x="47"/>
        <item x="128"/>
        <item x="93"/>
        <item x="76"/>
        <item x="88"/>
        <item x="2"/>
        <item x="151"/>
        <item x="63"/>
        <item x="59"/>
        <item x="134"/>
        <item x="142"/>
        <item x="54"/>
        <item x="125"/>
        <item x="40"/>
        <item x="35"/>
        <item x="49"/>
        <item x="31"/>
        <item x="110"/>
        <item x="10"/>
        <item x="111"/>
        <item x="75"/>
        <item x="38"/>
        <item x="136"/>
        <item x="24"/>
        <item x="29"/>
        <item x="8"/>
        <item x="26"/>
        <item x="126"/>
        <item x="130"/>
        <item x="1"/>
        <item x="155"/>
        <item x="137"/>
        <item x="58"/>
        <item x="132"/>
        <item x="147"/>
        <item x="118"/>
        <item x="39"/>
        <item x="74"/>
        <item x="144"/>
        <item x="113"/>
        <item x="120"/>
        <item x="61"/>
        <item x="67"/>
        <item x="43"/>
        <item x="36"/>
        <item x="106"/>
        <item x="85"/>
        <item x="112"/>
        <item x="15"/>
        <item x="4"/>
        <item x="117"/>
        <item x="119"/>
        <item x="83"/>
        <item x="140"/>
        <item x="13"/>
        <item x="78"/>
        <item x="109"/>
        <item x="80"/>
        <item x="90"/>
        <item x="131"/>
        <item x="87"/>
        <item x="81"/>
        <item x="37"/>
        <item x="115"/>
        <item x="20"/>
        <item x="51"/>
        <item x="72"/>
        <item x="64"/>
        <item x="28"/>
        <item x="45"/>
        <item x="152"/>
        <item x="65"/>
        <item x="55"/>
        <item x="82"/>
        <item x="6"/>
        <item x="138"/>
        <item x="53"/>
        <item x="7"/>
        <item x="97"/>
        <item x="105"/>
        <item x="34"/>
        <item x="107"/>
        <item x="153"/>
        <item x="94"/>
        <item x="139"/>
        <item x="148"/>
        <item x="68"/>
        <item x="46"/>
        <item x="95"/>
        <item x="66"/>
        <item x="14"/>
        <item x="124"/>
        <item x="84"/>
        <item x="122"/>
        <item x="123"/>
        <item x="79"/>
        <item x="143"/>
        <item x="99"/>
        <item x="101"/>
        <item x="103"/>
        <item x="114"/>
        <item x="41"/>
        <item x="77"/>
        <item x="146"/>
        <item x="129"/>
        <item x="73"/>
        <item x="91"/>
        <item x="33"/>
        <item x="86"/>
        <item x="154"/>
        <item x="17"/>
        <item x="135"/>
        <item x="145"/>
        <item x="21"/>
        <item x="42"/>
        <item x="70"/>
        <item x="100"/>
        <item x="27"/>
        <item x="23"/>
        <item x="48"/>
        <item x="32"/>
        <item x="50"/>
        <item x="133"/>
        <item x="52"/>
        <item x="102"/>
        <item x="60"/>
        <item x="25"/>
        <item x="149"/>
        <item x="9"/>
        <item x="16"/>
        <item x="121"/>
        <item x="30"/>
        <item x="19"/>
        <item x="3"/>
        <item x="22"/>
        <item x="71"/>
        <item x="44"/>
        <item x="116"/>
        <item x="127"/>
        <item x="141"/>
        <item x="11"/>
        <item x="108"/>
        <item x="0"/>
        <item x="89"/>
        <item x="98"/>
        <item x="92"/>
        <item x="62"/>
        <item x="12"/>
        <item x="156"/>
        <item x="150"/>
        <item x="18"/>
        <item x="57"/>
        <item x="104"/>
        <item x="96"/>
        <item x="5"/>
        <item x="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axis="axisRow" showAll="0">
      <items count="6">
        <item x="1"/>
        <item x="0"/>
        <item x="4"/>
        <item x="3"/>
        <item x="2"/>
        <item t="default"/>
      </items>
    </pivotField>
    <pivotField numFmtId="164" showAll="0"/>
    <pivotField numFmtId="164" showAll="0"/>
    <pivotField numFmtId="164" showAll="0"/>
    <pivotField dataField="1" showAll="0"/>
    <pivotField showAll="0"/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8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TotalRevenue" fld="15" baseField="11" baseItem="0" numFmtId="164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99599D-532A-42F3-B04D-F03051F90BCE}" name="PivotTable4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57:D66" firstHeaderRow="1" firstDataRow="2" firstDataCol="1"/>
  <pivotFields count="19">
    <pivotField showAll="0"/>
    <pivotField numFmtId="14" showAll="0">
      <items count="158">
        <item x="69"/>
        <item x="47"/>
        <item x="128"/>
        <item x="93"/>
        <item x="76"/>
        <item x="88"/>
        <item x="2"/>
        <item x="151"/>
        <item x="63"/>
        <item x="59"/>
        <item x="134"/>
        <item x="142"/>
        <item x="54"/>
        <item x="125"/>
        <item x="40"/>
        <item x="35"/>
        <item x="49"/>
        <item x="31"/>
        <item x="110"/>
        <item x="10"/>
        <item x="111"/>
        <item x="75"/>
        <item x="38"/>
        <item x="136"/>
        <item x="24"/>
        <item x="29"/>
        <item x="8"/>
        <item x="26"/>
        <item x="126"/>
        <item x="130"/>
        <item x="1"/>
        <item x="155"/>
        <item x="137"/>
        <item x="58"/>
        <item x="132"/>
        <item x="147"/>
        <item x="118"/>
        <item x="39"/>
        <item x="74"/>
        <item x="144"/>
        <item x="113"/>
        <item x="120"/>
        <item x="61"/>
        <item x="67"/>
        <item x="43"/>
        <item x="36"/>
        <item x="106"/>
        <item x="85"/>
        <item x="112"/>
        <item x="15"/>
        <item x="4"/>
        <item x="117"/>
        <item x="119"/>
        <item x="83"/>
        <item x="140"/>
        <item x="13"/>
        <item x="78"/>
        <item x="109"/>
        <item x="80"/>
        <item x="90"/>
        <item x="131"/>
        <item x="87"/>
        <item x="81"/>
        <item x="37"/>
        <item x="115"/>
        <item x="20"/>
        <item x="51"/>
        <item x="72"/>
        <item x="64"/>
        <item x="28"/>
        <item x="45"/>
        <item x="152"/>
        <item x="65"/>
        <item x="55"/>
        <item x="82"/>
        <item x="6"/>
        <item x="138"/>
        <item x="53"/>
        <item x="7"/>
        <item x="97"/>
        <item x="105"/>
        <item x="34"/>
        <item x="107"/>
        <item x="153"/>
        <item x="94"/>
        <item x="139"/>
        <item x="148"/>
        <item x="68"/>
        <item x="46"/>
        <item x="95"/>
        <item x="66"/>
        <item x="14"/>
        <item x="124"/>
        <item x="84"/>
        <item x="122"/>
        <item x="123"/>
        <item x="79"/>
        <item x="143"/>
        <item x="99"/>
        <item x="101"/>
        <item x="103"/>
        <item x="114"/>
        <item x="41"/>
        <item x="77"/>
        <item x="146"/>
        <item x="129"/>
        <item x="73"/>
        <item x="91"/>
        <item x="33"/>
        <item x="86"/>
        <item x="154"/>
        <item x="17"/>
        <item x="135"/>
        <item x="145"/>
        <item x="21"/>
        <item x="42"/>
        <item x="70"/>
        <item x="100"/>
        <item x="27"/>
        <item x="23"/>
        <item x="48"/>
        <item x="32"/>
        <item x="50"/>
        <item x="133"/>
        <item x="52"/>
        <item x="102"/>
        <item x="60"/>
        <item x="25"/>
        <item x="149"/>
        <item x="9"/>
        <item x="16"/>
        <item x="121"/>
        <item x="30"/>
        <item x="19"/>
        <item x="3"/>
        <item x="22"/>
        <item x="71"/>
        <item x="44"/>
        <item x="116"/>
        <item x="127"/>
        <item x="141"/>
        <item x="11"/>
        <item x="108"/>
        <item x="0"/>
        <item x="89"/>
        <item x="98"/>
        <item x="92"/>
        <item x="62"/>
        <item x="12"/>
        <item x="156"/>
        <item x="150"/>
        <item x="18"/>
        <item x="57"/>
        <item x="104"/>
        <item x="96"/>
        <item x="5"/>
        <item x="56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8">
        <item x="3"/>
        <item x="5"/>
        <item x="0"/>
        <item x="4"/>
        <item x="1"/>
        <item x="6"/>
        <item x="2"/>
        <item t="default"/>
      </items>
    </pivotField>
    <pivotField numFmtId="164" showAll="0"/>
    <pivotField showAll="0"/>
    <pivotField showAll="0"/>
    <pivotField numFmtId="164" showAll="0"/>
    <pivotField numFmtId="164" showAll="0"/>
    <pivotField dataField="1" numFmtId="164" showAll="0"/>
    <pivotField showAll="0"/>
    <pivotField showAll="0"/>
    <pivotField axis="axisCol" showAll="0">
      <items count="3">
        <item x="1"/>
        <item x="0"/>
        <item t="default"/>
      </items>
    </pivotField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7"/>
  </colFields>
  <colItems count="3">
    <i>
      <x/>
    </i>
    <i>
      <x v="1"/>
    </i>
    <i t="grand">
      <x/>
    </i>
  </colItems>
  <dataFields count="1">
    <dataField name="Sum of NetAmount" fld="14" baseField="0" baseItem="0" numFmtId="164"/>
  </dataField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17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17" count="1" selected="0">
            <x v="0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17" count="1" selected="0">
            <x v="0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17" count="1" selected="0">
            <x v="0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17" count="1" selected="0">
            <x v="0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17" count="1" selected="0">
            <x v="0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17" count="1" selected="0">
            <x v="0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17" count="1" selected="0">
            <x v="1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17" count="1" selected="0">
            <x v="1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17" count="1" selected="0">
            <x v="1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17" count="1" selected="0">
            <x v="1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17" count="1" selected="0">
            <x v="1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17" count="1" selected="0">
            <x v="1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1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1"/>
  <sheetViews>
    <sheetView showGridLines="0" workbookViewId="0">
      <pane ySplit="1" topLeftCell="A2" activePane="bottomLeft" state="frozen"/>
      <selection pane="bottomLeft" activeCell="K13" sqref="K13"/>
    </sheetView>
  </sheetViews>
  <sheetFormatPr defaultRowHeight="14.4" x14ac:dyDescent="0.3"/>
  <cols>
    <col min="1" max="1" width="10" customWidth="1"/>
    <col min="2" max="2" width="28" customWidth="1"/>
    <col min="3" max="3" width="14" customWidth="1"/>
    <col min="4" max="4" width="16" customWidth="1"/>
    <col min="5" max="5" width="14" customWidth="1"/>
    <col min="6" max="7" width="11" customWidth="1"/>
    <col min="8" max="8" width="18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s="2" t="s">
        <v>8</v>
      </c>
      <c r="B2" s="2" t="s">
        <v>9</v>
      </c>
      <c r="C2" s="2" t="s">
        <v>10</v>
      </c>
      <c r="D2" s="2" t="s">
        <v>11</v>
      </c>
      <c r="E2" s="2" t="s">
        <v>12</v>
      </c>
      <c r="F2" s="2">
        <v>320</v>
      </c>
      <c r="G2" s="2">
        <v>210</v>
      </c>
      <c r="H2" s="2" t="s">
        <v>13</v>
      </c>
    </row>
    <row r="3" spans="1:8" x14ac:dyDescent="0.3">
      <c r="A3" s="3" t="s">
        <v>14</v>
      </c>
      <c r="B3" s="3" t="s">
        <v>15</v>
      </c>
      <c r="C3" s="3" t="s">
        <v>10</v>
      </c>
      <c r="D3" s="3" t="s">
        <v>16</v>
      </c>
      <c r="E3" s="3" t="s">
        <v>17</v>
      </c>
      <c r="F3" s="3">
        <v>145</v>
      </c>
      <c r="G3" s="3">
        <v>90</v>
      </c>
      <c r="H3" s="3" t="s">
        <v>18</v>
      </c>
    </row>
    <row r="4" spans="1:8" x14ac:dyDescent="0.3">
      <c r="A4" s="2" t="s">
        <v>19</v>
      </c>
      <c r="B4" s="2" t="s">
        <v>20</v>
      </c>
      <c r="C4" s="2" t="s">
        <v>10</v>
      </c>
      <c r="D4" s="2" t="s">
        <v>21</v>
      </c>
      <c r="E4" s="2" t="s">
        <v>22</v>
      </c>
      <c r="F4" s="2">
        <v>165</v>
      </c>
      <c r="G4" s="2">
        <v>110</v>
      </c>
      <c r="H4" s="2" t="s">
        <v>23</v>
      </c>
    </row>
    <row r="5" spans="1:8" x14ac:dyDescent="0.3">
      <c r="A5" s="3" t="s">
        <v>24</v>
      </c>
      <c r="B5" s="3" t="s">
        <v>25</v>
      </c>
      <c r="C5" s="3" t="s">
        <v>26</v>
      </c>
      <c r="D5" s="3" t="s">
        <v>27</v>
      </c>
      <c r="E5" s="3" t="s">
        <v>28</v>
      </c>
      <c r="F5" s="3">
        <v>275</v>
      </c>
      <c r="G5" s="3">
        <v>200</v>
      </c>
      <c r="H5" s="3" t="s">
        <v>29</v>
      </c>
    </row>
    <row r="6" spans="1:8" x14ac:dyDescent="0.3">
      <c r="A6" s="2" t="s">
        <v>30</v>
      </c>
      <c r="B6" s="2" t="s">
        <v>31</v>
      </c>
      <c r="C6" s="2" t="s">
        <v>26</v>
      </c>
      <c r="D6" s="2" t="s">
        <v>32</v>
      </c>
      <c r="E6" s="2" t="s">
        <v>28</v>
      </c>
      <c r="F6" s="2">
        <v>68</v>
      </c>
      <c r="G6" s="2">
        <v>52</v>
      </c>
      <c r="H6" s="2" t="s">
        <v>29</v>
      </c>
    </row>
    <row r="7" spans="1:8" x14ac:dyDescent="0.3">
      <c r="A7" s="3" t="s">
        <v>33</v>
      </c>
      <c r="B7" s="3" t="s">
        <v>34</v>
      </c>
      <c r="C7" s="3" t="s">
        <v>35</v>
      </c>
      <c r="D7" s="3" t="s">
        <v>36</v>
      </c>
      <c r="E7" s="3" t="s">
        <v>37</v>
      </c>
      <c r="F7" s="3">
        <v>32999</v>
      </c>
      <c r="G7" s="3">
        <v>26000</v>
      </c>
      <c r="H7" s="3" t="s">
        <v>38</v>
      </c>
    </row>
    <row r="8" spans="1:8" x14ac:dyDescent="0.3">
      <c r="A8" s="2" t="s">
        <v>39</v>
      </c>
      <c r="B8" s="2" t="s">
        <v>40</v>
      </c>
      <c r="C8" s="2" t="s">
        <v>35</v>
      </c>
      <c r="D8" s="2" t="s">
        <v>41</v>
      </c>
      <c r="E8" s="2" t="s">
        <v>42</v>
      </c>
      <c r="F8" s="2">
        <v>1499</v>
      </c>
      <c r="G8" s="2">
        <v>900</v>
      </c>
      <c r="H8" s="2" t="s">
        <v>43</v>
      </c>
    </row>
    <row r="9" spans="1:8" x14ac:dyDescent="0.3">
      <c r="A9" s="3" t="s">
        <v>44</v>
      </c>
      <c r="B9" s="3" t="s">
        <v>45</v>
      </c>
      <c r="C9" s="3" t="s">
        <v>35</v>
      </c>
      <c r="D9" s="3" t="s">
        <v>46</v>
      </c>
      <c r="E9" s="3" t="s">
        <v>47</v>
      </c>
      <c r="F9" s="3">
        <v>129</v>
      </c>
      <c r="G9" s="3">
        <v>80</v>
      </c>
      <c r="H9" s="3" t="s">
        <v>48</v>
      </c>
    </row>
    <row r="10" spans="1:8" x14ac:dyDescent="0.3">
      <c r="A10" s="2" t="s">
        <v>49</v>
      </c>
      <c r="B10" s="2" t="s">
        <v>50</v>
      </c>
      <c r="C10" s="2" t="s">
        <v>51</v>
      </c>
      <c r="D10" s="2" t="s">
        <v>52</v>
      </c>
      <c r="E10" s="2" t="s">
        <v>53</v>
      </c>
      <c r="F10" s="2">
        <v>210</v>
      </c>
      <c r="G10" s="2">
        <v>140</v>
      </c>
      <c r="H10" s="2" t="s">
        <v>54</v>
      </c>
    </row>
    <row r="11" spans="1:8" x14ac:dyDescent="0.3">
      <c r="A11" s="3" t="s">
        <v>55</v>
      </c>
      <c r="B11" s="3" t="s">
        <v>56</v>
      </c>
      <c r="C11" s="3" t="s">
        <v>51</v>
      </c>
      <c r="D11" s="3" t="s">
        <v>57</v>
      </c>
      <c r="E11" s="3" t="s">
        <v>58</v>
      </c>
      <c r="F11" s="3">
        <v>95</v>
      </c>
      <c r="G11" s="3">
        <v>60</v>
      </c>
      <c r="H11" s="3" t="s">
        <v>59</v>
      </c>
    </row>
    <row r="12" spans="1:8" x14ac:dyDescent="0.3">
      <c r="A12" s="2" t="s">
        <v>60</v>
      </c>
      <c r="B12" s="2" t="s">
        <v>61</v>
      </c>
      <c r="C12" s="2" t="s">
        <v>62</v>
      </c>
      <c r="D12" s="2" t="s">
        <v>63</v>
      </c>
      <c r="E12" s="2" t="s">
        <v>64</v>
      </c>
      <c r="F12" s="2">
        <v>350</v>
      </c>
      <c r="G12" s="2">
        <v>200</v>
      </c>
      <c r="H12" s="2" t="s">
        <v>54</v>
      </c>
    </row>
    <row r="13" spans="1:8" x14ac:dyDescent="0.3">
      <c r="A13" s="3" t="s">
        <v>65</v>
      </c>
      <c r="B13" s="3" t="s">
        <v>66</v>
      </c>
      <c r="C13" s="3" t="s">
        <v>62</v>
      </c>
      <c r="D13" s="3" t="s">
        <v>67</v>
      </c>
      <c r="E13" s="3" t="s">
        <v>68</v>
      </c>
      <c r="F13" s="3">
        <v>299</v>
      </c>
      <c r="G13" s="3">
        <v>180</v>
      </c>
      <c r="H13" s="3" t="s">
        <v>54</v>
      </c>
    </row>
    <row r="14" spans="1:8" x14ac:dyDescent="0.3">
      <c r="A14" s="2" t="s">
        <v>69</v>
      </c>
      <c r="B14" s="2" t="s">
        <v>70</v>
      </c>
      <c r="C14" s="2" t="s">
        <v>71</v>
      </c>
      <c r="D14" s="2" t="s">
        <v>72</v>
      </c>
      <c r="E14" s="2" t="s">
        <v>73</v>
      </c>
      <c r="F14" s="2">
        <v>2499</v>
      </c>
      <c r="G14" s="2">
        <v>1200</v>
      </c>
      <c r="H14" s="2" t="s">
        <v>74</v>
      </c>
    </row>
    <row r="15" spans="1:8" x14ac:dyDescent="0.3">
      <c r="A15" s="3" t="s">
        <v>75</v>
      </c>
      <c r="B15" s="3" t="s">
        <v>76</v>
      </c>
      <c r="C15" s="3" t="s">
        <v>71</v>
      </c>
      <c r="D15" s="3" t="s">
        <v>77</v>
      </c>
      <c r="E15" s="3" t="s">
        <v>78</v>
      </c>
      <c r="F15" s="3">
        <v>1299</v>
      </c>
      <c r="G15" s="3">
        <v>650</v>
      </c>
      <c r="H15" s="3" t="s">
        <v>79</v>
      </c>
    </row>
    <row r="16" spans="1:8" x14ac:dyDescent="0.3">
      <c r="A16" s="2" t="s">
        <v>80</v>
      </c>
      <c r="B16" s="2" t="s">
        <v>81</v>
      </c>
      <c r="C16" s="2" t="s">
        <v>82</v>
      </c>
      <c r="D16" s="2" t="s">
        <v>83</v>
      </c>
      <c r="E16" s="2" t="s">
        <v>84</v>
      </c>
      <c r="F16" s="2">
        <v>1850</v>
      </c>
      <c r="G16" s="2">
        <v>1100</v>
      </c>
      <c r="H16" s="2" t="s">
        <v>85</v>
      </c>
    </row>
    <row r="17" spans="1:8" x14ac:dyDescent="0.3">
      <c r="A17" s="3" t="s">
        <v>86</v>
      </c>
      <c r="B17" s="3" t="s">
        <v>87</v>
      </c>
      <c r="C17" s="3" t="s">
        <v>82</v>
      </c>
      <c r="D17" s="3" t="s">
        <v>88</v>
      </c>
      <c r="E17" s="3" t="s">
        <v>89</v>
      </c>
      <c r="F17" s="3">
        <v>599</v>
      </c>
      <c r="G17" s="3">
        <v>320</v>
      </c>
      <c r="H17" s="3" t="s">
        <v>90</v>
      </c>
    </row>
    <row r="18" spans="1:8" x14ac:dyDescent="0.3">
      <c r="A18" s="2" t="s">
        <v>91</v>
      </c>
      <c r="B18" s="2" t="s">
        <v>92</v>
      </c>
      <c r="C18" s="2" t="s">
        <v>10</v>
      </c>
      <c r="D18" s="2" t="s">
        <v>93</v>
      </c>
      <c r="E18" s="2" t="s">
        <v>94</v>
      </c>
      <c r="F18" s="2">
        <v>95</v>
      </c>
      <c r="G18" s="2">
        <v>60</v>
      </c>
      <c r="H18" s="2" t="s">
        <v>95</v>
      </c>
    </row>
    <row r="19" spans="1:8" x14ac:dyDescent="0.3">
      <c r="A19" s="3" t="s">
        <v>96</v>
      </c>
      <c r="B19" s="3" t="s">
        <v>97</v>
      </c>
      <c r="C19" s="3" t="s">
        <v>10</v>
      </c>
      <c r="D19" s="3" t="s">
        <v>98</v>
      </c>
      <c r="E19" s="3" t="s">
        <v>99</v>
      </c>
      <c r="F19" s="3">
        <v>180</v>
      </c>
      <c r="G19" s="3">
        <v>120</v>
      </c>
      <c r="H19" s="3" t="s">
        <v>100</v>
      </c>
    </row>
    <row r="20" spans="1:8" x14ac:dyDescent="0.3">
      <c r="A20" s="2" t="s">
        <v>101</v>
      </c>
      <c r="B20" s="2" t="s">
        <v>102</v>
      </c>
      <c r="C20" s="2" t="s">
        <v>51</v>
      </c>
      <c r="D20" s="2" t="s">
        <v>103</v>
      </c>
      <c r="E20" s="2" t="s">
        <v>104</v>
      </c>
      <c r="F20" s="2">
        <v>95</v>
      </c>
      <c r="G20" s="2">
        <v>58</v>
      </c>
      <c r="H20" s="2" t="s">
        <v>105</v>
      </c>
    </row>
    <row r="21" spans="1:8" x14ac:dyDescent="0.3">
      <c r="A21" s="3" t="s">
        <v>106</v>
      </c>
      <c r="B21" s="3" t="s">
        <v>107</v>
      </c>
      <c r="C21" s="3" t="s">
        <v>71</v>
      </c>
      <c r="D21" s="3" t="s">
        <v>108</v>
      </c>
      <c r="E21" s="3" t="s">
        <v>109</v>
      </c>
      <c r="F21" s="3">
        <v>3499</v>
      </c>
      <c r="G21" s="3">
        <v>1800</v>
      </c>
      <c r="H21" s="3" t="s">
        <v>109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1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8" customWidth="1"/>
    <col min="2" max="2" width="32" customWidth="1"/>
    <col min="3" max="3" width="12" customWidth="1"/>
    <col min="4" max="4" width="16" customWidth="1"/>
    <col min="5" max="5" width="8" customWidth="1"/>
    <col min="6" max="6" width="12" customWidth="1"/>
    <col min="7" max="7" width="20" customWidth="1"/>
    <col min="8" max="8" width="12" customWidth="1"/>
    <col min="9" max="9" width="8" customWidth="1"/>
  </cols>
  <sheetData>
    <row r="1" spans="1:9" x14ac:dyDescent="0.3">
      <c r="A1" s="4" t="s">
        <v>110</v>
      </c>
      <c r="B1" s="4" t="s">
        <v>111</v>
      </c>
      <c r="C1" s="4" t="s">
        <v>112</v>
      </c>
      <c r="D1" s="4" t="s">
        <v>113</v>
      </c>
      <c r="E1" s="4" t="s">
        <v>114</v>
      </c>
      <c r="F1" s="4" t="s">
        <v>115</v>
      </c>
      <c r="G1" s="4" t="s">
        <v>116</v>
      </c>
      <c r="H1" s="4" t="s">
        <v>117</v>
      </c>
      <c r="I1" s="4" t="s">
        <v>118</v>
      </c>
    </row>
    <row r="2" spans="1:9" x14ac:dyDescent="0.3">
      <c r="A2" s="2" t="s">
        <v>119</v>
      </c>
      <c r="B2" s="2" t="s">
        <v>120</v>
      </c>
      <c r="C2" s="2" t="s">
        <v>121</v>
      </c>
      <c r="D2" s="2" t="s">
        <v>121</v>
      </c>
      <c r="E2" s="2" t="s">
        <v>122</v>
      </c>
      <c r="F2" s="2" t="s">
        <v>123</v>
      </c>
      <c r="G2" s="2" t="s">
        <v>124</v>
      </c>
      <c r="H2" s="2" t="s">
        <v>125</v>
      </c>
      <c r="I2" s="2">
        <v>8500</v>
      </c>
    </row>
    <row r="3" spans="1:9" x14ac:dyDescent="0.3">
      <c r="A3" s="3" t="s">
        <v>126</v>
      </c>
      <c r="B3" s="3" t="s">
        <v>127</v>
      </c>
      <c r="C3" s="3" t="s">
        <v>121</v>
      </c>
      <c r="D3" s="3" t="s">
        <v>121</v>
      </c>
      <c r="E3" s="3" t="s">
        <v>122</v>
      </c>
      <c r="F3" s="3" t="s">
        <v>128</v>
      </c>
      <c r="G3" s="3" t="s">
        <v>129</v>
      </c>
      <c r="H3" s="3" t="s">
        <v>130</v>
      </c>
      <c r="I3" s="3">
        <v>5200</v>
      </c>
    </row>
    <row r="4" spans="1:9" x14ac:dyDescent="0.3">
      <c r="A4" s="2" t="s">
        <v>131</v>
      </c>
      <c r="B4" s="2" t="s">
        <v>132</v>
      </c>
      <c r="C4" s="2" t="s">
        <v>133</v>
      </c>
      <c r="D4" s="2" t="s">
        <v>134</v>
      </c>
      <c r="E4" s="2" t="s">
        <v>135</v>
      </c>
      <c r="F4" s="2" t="s">
        <v>123</v>
      </c>
      <c r="G4" s="2" t="s">
        <v>136</v>
      </c>
      <c r="H4" s="2" t="s">
        <v>137</v>
      </c>
      <c r="I4" s="2">
        <v>9200</v>
      </c>
    </row>
    <row r="5" spans="1:9" x14ac:dyDescent="0.3">
      <c r="A5" s="3" t="s">
        <v>138</v>
      </c>
      <c r="B5" s="3" t="s">
        <v>139</v>
      </c>
      <c r="C5" s="3" t="s">
        <v>133</v>
      </c>
      <c r="D5" s="3" t="s">
        <v>134</v>
      </c>
      <c r="E5" s="3" t="s">
        <v>135</v>
      </c>
      <c r="F5" s="3" t="s">
        <v>128</v>
      </c>
      <c r="G5" s="3" t="s">
        <v>140</v>
      </c>
      <c r="H5" s="3" t="s">
        <v>141</v>
      </c>
      <c r="I5" s="3">
        <v>4800</v>
      </c>
    </row>
    <row r="6" spans="1:9" x14ac:dyDescent="0.3">
      <c r="A6" s="2" t="s">
        <v>142</v>
      </c>
      <c r="B6" s="2" t="s">
        <v>143</v>
      </c>
      <c r="C6" s="2" t="s">
        <v>144</v>
      </c>
      <c r="D6" s="2" t="s">
        <v>145</v>
      </c>
      <c r="E6" s="2" t="s">
        <v>146</v>
      </c>
      <c r="F6" s="2" t="s">
        <v>123</v>
      </c>
      <c r="G6" s="2" t="s">
        <v>147</v>
      </c>
      <c r="H6" s="2" t="s">
        <v>148</v>
      </c>
      <c r="I6" s="2">
        <v>7600</v>
      </c>
    </row>
    <row r="7" spans="1:9" x14ac:dyDescent="0.3">
      <c r="A7" s="3" t="s">
        <v>149</v>
      </c>
      <c r="B7" s="3" t="s">
        <v>150</v>
      </c>
      <c r="C7" s="3" t="s">
        <v>144</v>
      </c>
      <c r="D7" s="3" t="s">
        <v>145</v>
      </c>
      <c r="E7" s="3" t="s">
        <v>146</v>
      </c>
      <c r="F7" s="3" t="s">
        <v>128</v>
      </c>
      <c r="G7" s="3" t="s">
        <v>151</v>
      </c>
      <c r="H7" s="3" t="s">
        <v>152</v>
      </c>
      <c r="I7" s="3">
        <v>4200</v>
      </c>
    </row>
    <row r="8" spans="1:9" x14ac:dyDescent="0.3">
      <c r="A8" s="2" t="s">
        <v>153</v>
      </c>
      <c r="B8" s="2" t="s">
        <v>154</v>
      </c>
      <c r="C8" s="2" t="s">
        <v>155</v>
      </c>
      <c r="D8" s="2" t="s">
        <v>156</v>
      </c>
      <c r="E8" s="2" t="s">
        <v>146</v>
      </c>
      <c r="F8" s="2" t="s">
        <v>123</v>
      </c>
      <c r="G8" s="2" t="s">
        <v>157</v>
      </c>
      <c r="H8" s="2" t="s">
        <v>158</v>
      </c>
      <c r="I8" s="2">
        <v>6800</v>
      </c>
    </row>
    <row r="9" spans="1:9" x14ac:dyDescent="0.3">
      <c r="A9" s="3" t="s">
        <v>159</v>
      </c>
      <c r="B9" s="3" t="s">
        <v>160</v>
      </c>
      <c r="C9" s="3" t="s">
        <v>155</v>
      </c>
      <c r="D9" s="3" t="s">
        <v>156</v>
      </c>
      <c r="E9" s="3" t="s">
        <v>146</v>
      </c>
      <c r="F9" s="3" t="s">
        <v>128</v>
      </c>
      <c r="G9" s="3" t="s">
        <v>161</v>
      </c>
      <c r="H9" s="3" t="s">
        <v>162</v>
      </c>
      <c r="I9" s="3">
        <v>4100</v>
      </c>
    </row>
    <row r="10" spans="1:9" x14ac:dyDescent="0.3">
      <c r="A10" s="2" t="s">
        <v>163</v>
      </c>
      <c r="B10" s="2" t="s">
        <v>164</v>
      </c>
      <c r="C10" s="2" t="s">
        <v>165</v>
      </c>
      <c r="D10" s="2" t="s">
        <v>166</v>
      </c>
      <c r="E10" s="2" t="s">
        <v>167</v>
      </c>
      <c r="F10" s="2" t="s">
        <v>123</v>
      </c>
      <c r="G10" s="2" t="s">
        <v>168</v>
      </c>
      <c r="H10" s="2" t="s">
        <v>169</v>
      </c>
      <c r="I10" s="2">
        <v>7100</v>
      </c>
    </row>
    <row r="11" spans="1:9" x14ac:dyDescent="0.3">
      <c r="A11" s="3" t="s">
        <v>170</v>
      </c>
      <c r="B11" s="3" t="s">
        <v>171</v>
      </c>
      <c r="C11" s="3" t="s">
        <v>165</v>
      </c>
      <c r="D11" s="3" t="s">
        <v>166</v>
      </c>
      <c r="E11" s="3" t="s">
        <v>167</v>
      </c>
      <c r="F11" s="3" t="s">
        <v>128</v>
      </c>
      <c r="G11" s="3" t="s">
        <v>172</v>
      </c>
      <c r="H11" s="3" t="s">
        <v>173</v>
      </c>
      <c r="I11" s="3">
        <v>3900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1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20" customWidth="1"/>
    <col min="3" max="3" width="12" customWidth="1"/>
    <col min="4" max="4" width="16" customWidth="1"/>
    <col min="5" max="5" width="8" customWidth="1"/>
    <col min="6" max="7" width="10" customWidth="1"/>
    <col min="8" max="8" width="12" customWidth="1"/>
    <col min="9" max="9" width="24" customWidth="1"/>
  </cols>
  <sheetData>
    <row r="1" spans="1:9" x14ac:dyDescent="0.3">
      <c r="A1" s="5" t="s">
        <v>174</v>
      </c>
      <c r="B1" s="5" t="s">
        <v>175</v>
      </c>
      <c r="C1" s="5" t="s">
        <v>112</v>
      </c>
      <c r="D1" s="5" t="s">
        <v>113</v>
      </c>
      <c r="E1" s="5" t="s">
        <v>176</v>
      </c>
      <c r="F1" s="5" t="s">
        <v>177</v>
      </c>
      <c r="G1" s="5" t="s">
        <v>178</v>
      </c>
      <c r="H1" s="5" t="s">
        <v>179</v>
      </c>
      <c r="I1" s="5" t="s">
        <v>180</v>
      </c>
    </row>
    <row r="2" spans="1:9" x14ac:dyDescent="0.3">
      <c r="A2" s="2" t="s">
        <v>181</v>
      </c>
      <c r="B2" s="2" t="s">
        <v>182</v>
      </c>
      <c r="C2" s="2" t="s">
        <v>121</v>
      </c>
      <c r="D2" s="2" t="s">
        <v>121</v>
      </c>
      <c r="E2" s="2" t="s">
        <v>183</v>
      </c>
      <c r="F2" s="2" t="s">
        <v>184</v>
      </c>
      <c r="G2" s="2" t="s">
        <v>185</v>
      </c>
      <c r="H2" s="2" t="s">
        <v>186</v>
      </c>
      <c r="I2" s="2" t="s">
        <v>187</v>
      </c>
    </row>
    <row r="3" spans="1:9" x14ac:dyDescent="0.3">
      <c r="A3" s="3" t="s">
        <v>188</v>
      </c>
      <c r="B3" s="3" t="s">
        <v>189</v>
      </c>
      <c r="C3" s="3" t="s">
        <v>133</v>
      </c>
      <c r="D3" s="3" t="s">
        <v>134</v>
      </c>
      <c r="E3" s="3" t="s">
        <v>190</v>
      </c>
      <c r="F3" s="3" t="s">
        <v>191</v>
      </c>
      <c r="G3" s="3" t="s">
        <v>192</v>
      </c>
      <c r="H3" s="3" t="s">
        <v>193</v>
      </c>
      <c r="I3" s="3" t="s">
        <v>194</v>
      </c>
    </row>
    <row r="4" spans="1:9" x14ac:dyDescent="0.3">
      <c r="A4" s="2" t="s">
        <v>195</v>
      </c>
      <c r="B4" s="2" t="s">
        <v>147</v>
      </c>
      <c r="C4" s="2" t="s">
        <v>144</v>
      </c>
      <c r="D4" s="2" t="s">
        <v>145</v>
      </c>
      <c r="E4" s="2" t="s">
        <v>183</v>
      </c>
      <c r="F4" s="2" t="s">
        <v>196</v>
      </c>
      <c r="G4" s="2" t="s">
        <v>185</v>
      </c>
      <c r="H4" s="2" t="s">
        <v>197</v>
      </c>
      <c r="I4" s="2" t="s">
        <v>198</v>
      </c>
    </row>
    <row r="5" spans="1:9" x14ac:dyDescent="0.3">
      <c r="A5" s="3" t="s">
        <v>199</v>
      </c>
      <c r="B5" s="3" t="s">
        <v>200</v>
      </c>
      <c r="C5" s="3" t="s">
        <v>155</v>
      </c>
      <c r="D5" s="3" t="s">
        <v>156</v>
      </c>
      <c r="E5" s="3" t="s">
        <v>190</v>
      </c>
      <c r="F5" s="3" t="s">
        <v>201</v>
      </c>
      <c r="G5" s="3" t="s">
        <v>192</v>
      </c>
      <c r="H5" s="3" t="s">
        <v>202</v>
      </c>
      <c r="I5" s="3" t="s">
        <v>203</v>
      </c>
    </row>
    <row r="6" spans="1:9" x14ac:dyDescent="0.3">
      <c r="A6" s="2" t="s">
        <v>204</v>
      </c>
      <c r="B6" s="2" t="s">
        <v>205</v>
      </c>
      <c r="C6" s="2" t="s">
        <v>121</v>
      </c>
      <c r="D6" s="2" t="s">
        <v>121</v>
      </c>
      <c r="E6" s="2" t="s">
        <v>183</v>
      </c>
      <c r="F6" s="2" t="s">
        <v>184</v>
      </c>
      <c r="G6" s="2" t="s">
        <v>192</v>
      </c>
      <c r="H6" s="2" t="s">
        <v>206</v>
      </c>
      <c r="I6" s="2" t="s">
        <v>207</v>
      </c>
    </row>
    <row r="7" spans="1:9" x14ac:dyDescent="0.3">
      <c r="A7" s="3" t="s">
        <v>208</v>
      </c>
      <c r="B7" s="3" t="s">
        <v>209</v>
      </c>
      <c r="C7" s="3" t="s">
        <v>133</v>
      </c>
      <c r="D7" s="3" t="s">
        <v>134</v>
      </c>
      <c r="E7" s="3" t="s">
        <v>190</v>
      </c>
      <c r="F7" s="3" t="s">
        <v>196</v>
      </c>
      <c r="G7" s="3" t="s">
        <v>185</v>
      </c>
      <c r="H7" s="3" t="s">
        <v>210</v>
      </c>
      <c r="I7" s="3" t="s">
        <v>211</v>
      </c>
    </row>
    <row r="8" spans="1:9" x14ac:dyDescent="0.3">
      <c r="A8" s="2" t="s">
        <v>212</v>
      </c>
      <c r="B8" s="2" t="s">
        <v>213</v>
      </c>
      <c r="C8" s="2" t="s">
        <v>144</v>
      </c>
      <c r="D8" s="2" t="s">
        <v>145</v>
      </c>
      <c r="E8" s="2" t="s">
        <v>183</v>
      </c>
      <c r="F8" s="2" t="s">
        <v>191</v>
      </c>
      <c r="G8" s="2" t="s">
        <v>214</v>
      </c>
      <c r="H8" s="2" t="s">
        <v>215</v>
      </c>
      <c r="I8" s="2" t="s">
        <v>216</v>
      </c>
    </row>
    <row r="9" spans="1:9" x14ac:dyDescent="0.3">
      <c r="A9" s="3" t="s">
        <v>217</v>
      </c>
      <c r="B9" s="3" t="s">
        <v>218</v>
      </c>
      <c r="C9" s="3" t="s">
        <v>155</v>
      </c>
      <c r="D9" s="3" t="s">
        <v>156</v>
      </c>
      <c r="E9" s="3" t="s">
        <v>190</v>
      </c>
      <c r="F9" s="3" t="s">
        <v>184</v>
      </c>
      <c r="G9" s="3" t="s">
        <v>192</v>
      </c>
      <c r="H9" s="3" t="s">
        <v>219</v>
      </c>
      <c r="I9" s="3" t="s">
        <v>220</v>
      </c>
    </row>
    <row r="10" spans="1:9" x14ac:dyDescent="0.3">
      <c r="A10" s="2" t="s">
        <v>221</v>
      </c>
      <c r="B10" s="2" t="s">
        <v>222</v>
      </c>
      <c r="C10" s="2" t="s">
        <v>165</v>
      </c>
      <c r="D10" s="2" t="s">
        <v>166</v>
      </c>
      <c r="E10" s="2" t="s">
        <v>183</v>
      </c>
      <c r="F10" s="2" t="s">
        <v>201</v>
      </c>
      <c r="G10" s="2" t="s">
        <v>185</v>
      </c>
      <c r="H10" s="2" t="s">
        <v>223</v>
      </c>
      <c r="I10" s="2" t="s">
        <v>224</v>
      </c>
    </row>
    <row r="11" spans="1:9" x14ac:dyDescent="0.3">
      <c r="A11" s="3" t="s">
        <v>225</v>
      </c>
      <c r="B11" s="3" t="s">
        <v>226</v>
      </c>
      <c r="C11" s="3" t="s">
        <v>165</v>
      </c>
      <c r="D11" s="3" t="s">
        <v>166</v>
      </c>
      <c r="E11" s="3" t="s">
        <v>190</v>
      </c>
      <c r="F11" s="3" t="s">
        <v>227</v>
      </c>
      <c r="G11" s="3" t="s">
        <v>192</v>
      </c>
      <c r="H11" s="3" t="s">
        <v>228</v>
      </c>
      <c r="I11" s="3" t="s">
        <v>229</v>
      </c>
    </row>
    <row r="12" spans="1:9" x14ac:dyDescent="0.3">
      <c r="A12" s="2" t="s">
        <v>230</v>
      </c>
      <c r="B12" s="2" t="s">
        <v>231</v>
      </c>
      <c r="C12" s="2" t="s">
        <v>121</v>
      </c>
      <c r="D12" s="2" t="s">
        <v>121</v>
      </c>
      <c r="E12" s="2" t="s">
        <v>183</v>
      </c>
      <c r="F12" s="2" t="s">
        <v>196</v>
      </c>
      <c r="G12" s="2" t="s">
        <v>185</v>
      </c>
      <c r="H12" s="2" t="s">
        <v>232</v>
      </c>
      <c r="I12" s="2" t="s">
        <v>233</v>
      </c>
    </row>
    <row r="13" spans="1:9" x14ac:dyDescent="0.3">
      <c r="A13" s="3" t="s">
        <v>234</v>
      </c>
      <c r="B13" s="3" t="s">
        <v>235</v>
      </c>
      <c r="C13" s="3" t="s">
        <v>133</v>
      </c>
      <c r="D13" s="3" t="s">
        <v>134</v>
      </c>
      <c r="E13" s="3" t="s">
        <v>190</v>
      </c>
      <c r="F13" s="3" t="s">
        <v>184</v>
      </c>
      <c r="G13" s="3" t="s">
        <v>192</v>
      </c>
      <c r="H13" s="3" t="s">
        <v>236</v>
      </c>
      <c r="I13" s="3" t="s">
        <v>237</v>
      </c>
    </row>
    <row r="14" spans="1:9" x14ac:dyDescent="0.3">
      <c r="A14" s="2" t="s">
        <v>238</v>
      </c>
      <c r="B14" s="2" t="s">
        <v>239</v>
      </c>
      <c r="C14" s="2" t="s">
        <v>155</v>
      </c>
      <c r="D14" s="2" t="s">
        <v>156</v>
      </c>
      <c r="E14" s="2" t="s">
        <v>183</v>
      </c>
      <c r="F14" s="2" t="s">
        <v>201</v>
      </c>
      <c r="G14" s="2" t="s">
        <v>192</v>
      </c>
      <c r="H14" s="2" t="s">
        <v>240</v>
      </c>
      <c r="I14" s="2" t="s">
        <v>241</v>
      </c>
    </row>
    <row r="15" spans="1:9" x14ac:dyDescent="0.3">
      <c r="A15" s="3" t="s">
        <v>242</v>
      </c>
      <c r="B15" s="3" t="s">
        <v>243</v>
      </c>
      <c r="C15" s="3" t="s">
        <v>144</v>
      </c>
      <c r="D15" s="3" t="s">
        <v>145</v>
      </c>
      <c r="E15" s="3" t="s">
        <v>190</v>
      </c>
      <c r="F15" s="3" t="s">
        <v>191</v>
      </c>
      <c r="G15" s="3" t="s">
        <v>214</v>
      </c>
      <c r="H15" s="3" t="s">
        <v>244</v>
      </c>
      <c r="I15" s="3" t="s">
        <v>245</v>
      </c>
    </row>
    <row r="16" spans="1:9" x14ac:dyDescent="0.3">
      <c r="A16" s="2" t="s">
        <v>246</v>
      </c>
      <c r="B16" s="2" t="s">
        <v>247</v>
      </c>
      <c r="C16" s="2" t="s">
        <v>165</v>
      </c>
      <c r="D16" s="2" t="s">
        <v>166</v>
      </c>
      <c r="E16" s="2" t="s">
        <v>183</v>
      </c>
      <c r="F16" s="2" t="s">
        <v>184</v>
      </c>
      <c r="G16" s="2" t="s">
        <v>185</v>
      </c>
      <c r="H16" s="2" t="s">
        <v>248</v>
      </c>
      <c r="I16" s="2" t="s">
        <v>249</v>
      </c>
    </row>
    <row r="17" spans="1:9" x14ac:dyDescent="0.3">
      <c r="A17" s="3" t="s">
        <v>250</v>
      </c>
      <c r="B17" s="3" t="s">
        <v>251</v>
      </c>
      <c r="C17" s="3" t="s">
        <v>155</v>
      </c>
      <c r="D17" s="3" t="s">
        <v>156</v>
      </c>
      <c r="E17" s="3" t="s">
        <v>190</v>
      </c>
      <c r="F17" s="3" t="s">
        <v>196</v>
      </c>
      <c r="G17" s="3" t="s">
        <v>192</v>
      </c>
      <c r="H17" s="3" t="s">
        <v>252</v>
      </c>
      <c r="I17" s="3" t="s">
        <v>253</v>
      </c>
    </row>
    <row r="18" spans="1:9" x14ac:dyDescent="0.3">
      <c r="A18" s="2" t="s">
        <v>254</v>
      </c>
      <c r="B18" s="2" t="s">
        <v>255</v>
      </c>
      <c r="C18" s="2" t="s">
        <v>121</v>
      </c>
      <c r="D18" s="2" t="s">
        <v>121</v>
      </c>
      <c r="E18" s="2" t="s">
        <v>183</v>
      </c>
      <c r="F18" s="2" t="s">
        <v>227</v>
      </c>
      <c r="G18" s="2" t="s">
        <v>192</v>
      </c>
      <c r="H18" s="2" t="s">
        <v>256</v>
      </c>
      <c r="I18" s="2" t="s">
        <v>257</v>
      </c>
    </row>
    <row r="19" spans="1:9" x14ac:dyDescent="0.3">
      <c r="A19" s="3" t="s">
        <v>258</v>
      </c>
      <c r="B19" s="3" t="s">
        <v>259</v>
      </c>
      <c r="C19" s="3" t="s">
        <v>144</v>
      </c>
      <c r="D19" s="3" t="s">
        <v>145</v>
      </c>
      <c r="E19" s="3" t="s">
        <v>190</v>
      </c>
      <c r="F19" s="3" t="s">
        <v>201</v>
      </c>
      <c r="G19" s="3" t="s">
        <v>185</v>
      </c>
      <c r="H19" s="3" t="s">
        <v>260</v>
      </c>
      <c r="I19" s="3" t="s">
        <v>261</v>
      </c>
    </row>
    <row r="20" spans="1:9" x14ac:dyDescent="0.3">
      <c r="A20" s="2" t="s">
        <v>262</v>
      </c>
      <c r="B20" s="2" t="s">
        <v>263</v>
      </c>
      <c r="C20" s="2" t="s">
        <v>133</v>
      </c>
      <c r="D20" s="2" t="s">
        <v>134</v>
      </c>
      <c r="E20" s="2" t="s">
        <v>183</v>
      </c>
      <c r="F20" s="2" t="s">
        <v>184</v>
      </c>
      <c r="G20" s="2" t="s">
        <v>214</v>
      </c>
      <c r="H20" s="2" t="s">
        <v>264</v>
      </c>
      <c r="I20" s="2" t="s">
        <v>265</v>
      </c>
    </row>
    <row r="21" spans="1:9" x14ac:dyDescent="0.3">
      <c r="A21" s="3" t="s">
        <v>266</v>
      </c>
      <c r="B21" s="3" t="s">
        <v>267</v>
      </c>
      <c r="C21" s="3" t="s">
        <v>165</v>
      </c>
      <c r="D21" s="3" t="s">
        <v>166</v>
      </c>
      <c r="E21" s="3" t="s">
        <v>190</v>
      </c>
      <c r="F21" s="3" t="s">
        <v>196</v>
      </c>
      <c r="G21" s="3" t="s">
        <v>192</v>
      </c>
      <c r="H21" s="3" t="s">
        <v>268</v>
      </c>
      <c r="I21" s="3" t="s">
        <v>269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1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22" customWidth="1"/>
    <col min="3" max="3" width="10" customWidth="1"/>
    <col min="4" max="4" width="20" customWidth="1"/>
    <col min="5" max="5" width="14" customWidth="1"/>
    <col min="6" max="6" width="10" customWidth="1"/>
    <col min="7" max="7" width="12" customWidth="1"/>
    <col min="8" max="8" width="10" customWidth="1"/>
  </cols>
  <sheetData>
    <row r="1" spans="1:8" x14ac:dyDescent="0.3">
      <c r="A1" s="6" t="s">
        <v>270</v>
      </c>
      <c r="B1" s="6" t="s">
        <v>271</v>
      </c>
      <c r="C1" s="6" t="s">
        <v>110</v>
      </c>
      <c r="D1" s="6" t="s">
        <v>272</v>
      </c>
      <c r="E1" s="6" t="s">
        <v>273</v>
      </c>
      <c r="F1" s="6" t="s">
        <v>274</v>
      </c>
      <c r="G1" s="6" t="s">
        <v>179</v>
      </c>
      <c r="H1" s="6" t="s">
        <v>275</v>
      </c>
    </row>
    <row r="2" spans="1:8" x14ac:dyDescent="0.3">
      <c r="A2" s="2" t="s">
        <v>276</v>
      </c>
      <c r="B2" s="2" t="s">
        <v>277</v>
      </c>
      <c r="C2" s="2" t="s">
        <v>119</v>
      </c>
      <c r="D2" s="2" t="s">
        <v>278</v>
      </c>
      <c r="E2" s="2" t="s">
        <v>279</v>
      </c>
      <c r="F2" s="2">
        <v>65000</v>
      </c>
      <c r="G2" s="2" t="s">
        <v>125</v>
      </c>
      <c r="H2" s="2" t="s">
        <v>280</v>
      </c>
    </row>
    <row r="3" spans="1:8" x14ac:dyDescent="0.3">
      <c r="A3" s="3" t="s">
        <v>281</v>
      </c>
      <c r="B3" s="3" t="s">
        <v>282</v>
      </c>
      <c r="C3" s="3" t="s">
        <v>119</v>
      </c>
      <c r="D3" s="3" t="s">
        <v>283</v>
      </c>
      <c r="E3" s="3" t="s">
        <v>284</v>
      </c>
      <c r="F3" s="3">
        <v>28000</v>
      </c>
      <c r="G3" s="3" t="s">
        <v>130</v>
      </c>
      <c r="H3" s="3" t="s">
        <v>280</v>
      </c>
    </row>
    <row r="4" spans="1:8" x14ac:dyDescent="0.3">
      <c r="A4" s="2" t="s">
        <v>285</v>
      </c>
      <c r="B4" s="2" t="s">
        <v>286</v>
      </c>
      <c r="C4" s="2" t="s">
        <v>119</v>
      </c>
      <c r="D4" s="2" t="s">
        <v>287</v>
      </c>
      <c r="E4" s="2" t="s">
        <v>288</v>
      </c>
      <c r="F4" s="2">
        <v>22000</v>
      </c>
      <c r="G4" s="2" t="s">
        <v>289</v>
      </c>
      <c r="H4" s="2" t="s">
        <v>280</v>
      </c>
    </row>
    <row r="5" spans="1:8" x14ac:dyDescent="0.3">
      <c r="A5" s="3" t="s">
        <v>290</v>
      </c>
      <c r="B5" s="3" t="s">
        <v>291</v>
      </c>
      <c r="C5" s="3" t="s">
        <v>126</v>
      </c>
      <c r="D5" s="3" t="s">
        <v>278</v>
      </c>
      <c r="E5" s="3" t="s">
        <v>279</v>
      </c>
      <c r="F5" s="3">
        <v>58000</v>
      </c>
      <c r="G5" s="3" t="s">
        <v>130</v>
      </c>
      <c r="H5" s="3" t="s">
        <v>280</v>
      </c>
    </row>
    <row r="6" spans="1:8" x14ac:dyDescent="0.3">
      <c r="A6" s="2" t="s">
        <v>292</v>
      </c>
      <c r="B6" s="2" t="s">
        <v>293</v>
      </c>
      <c r="C6" s="2" t="s">
        <v>126</v>
      </c>
      <c r="D6" s="2" t="s">
        <v>283</v>
      </c>
      <c r="E6" s="2" t="s">
        <v>284</v>
      </c>
      <c r="F6" s="2">
        <v>26000</v>
      </c>
      <c r="G6" s="2" t="s">
        <v>294</v>
      </c>
      <c r="H6" s="2" t="s">
        <v>280</v>
      </c>
    </row>
    <row r="7" spans="1:8" x14ac:dyDescent="0.3">
      <c r="A7" s="3" t="s">
        <v>295</v>
      </c>
      <c r="B7" s="3" t="s">
        <v>296</v>
      </c>
      <c r="C7" s="3" t="s">
        <v>131</v>
      </c>
      <c r="D7" s="3" t="s">
        <v>278</v>
      </c>
      <c r="E7" s="3" t="s">
        <v>279</v>
      </c>
      <c r="F7" s="3">
        <v>72000</v>
      </c>
      <c r="G7" s="3" t="s">
        <v>137</v>
      </c>
      <c r="H7" s="3" t="s">
        <v>280</v>
      </c>
    </row>
    <row r="8" spans="1:8" x14ac:dyDescent="0.3">
      <c r="A8" s="2" t="s">
        <v>297</v>
      </c>
      <c r="B8" s="2" t="s">
        <v>298</v>
      </c>
      <c r="C8" s="2" t="s">
        <v>131</v>
      </c>
      <c r="D8" s="2" t="s">
        <v>299</v>
      </c>
      <c r="E8" s="2" t="s">
        <v>279</v>
      </c>
      <c r="F8" s="2">
        <v>45000</v>
      </c>
      <c r="G8" s="2" t="s">
        <v>300</v>
      </c>
      <c r="H8" s="2" t="s">
        <v>280</v>
      </c>
    </row>
    <row r="9" spans="1:8" x14ac:dyDescent="0.3">
      <c r="A9" s="3" t="s">
        <v>301</v>
      </c>
      <c r="B9" s="3" t="s">
        <v>302</v>
      </c>
      <c r="C9" s="3" t="s">
        <v>131</v>
      </c>
      <c r="D9" s="3" t="s">
        <v>283</v>
      </c>
      <c r="E9" s="3" t="s">
        <v>284</v>
      </c>
      <c r="F9" s="3">
        <v>29000</v>
      </c>
      <c r="G9" s="3" t="s">
        <v>303</v>
      </c>
      <c r="H9" s="3" t="s">
        <v>280</v>
      </c>
    </row>
    <row r="10" spans="1:8" x14ac:dyDescent="0.3">
      <c r="A10" s="2" t="s">
        <v>304</v>
      </c>
      <c r="B10" s="2" t="s">
        <v>305</v>
      </c>
      <c r="C10" s="2" t="s">
        <v>138</v>
      </c>
      <c r="D10" s="2" t="s">
        <v>278</v>
      </c>
      <c r="E10" s="2" t="s">
        <v>279</v>
      </c>
      <c r="F10" s="2">
        <v>55000</v>
      </c>
      <c r="G10" s="2" t="s">
        <v>141</v>
      </c>
      <c r="H10" s="2" t="s">
        <v>280</v>
      </c>
    </row>
    <row r="11" spans="1:8" x14ac:dyDescent="0.3">
      <c r="A11" s="3" t="s">
        <v>306</v>
      </c>
      <c r="B11" s="3" t="s">
        <v>307</v>
      </c>
      <c r="C11" s="3" t="s">
        <v>142</v>
      </c>
      <c r="D11" s="3" t="s">
        <v>278</v>
      </c>
      <c r="E11" s="3" t="s">
        <v>279</v>
      </c>
      <c r="F11" s="3">
        <v>68000</v>
      </c>
      <c r="G11" s="3" t="s">
        <v>148</v>
      </c>
      <c r="H11" s="3" t="s">
        <v>280</v>
      </c>
    </row>
    <row r="12" spans="1:8" x14ac:dyDescent="0.3">
      <c r="A12" s="2" t="s">
        <v>308</v>
      </c>
      <c r="B12" s="2" t="s">
        <v>309</v>
      </c>
      <c r="C12" s="2" t="s">
        <v>142</v>
      </c>
      <c r="D12" s="2" t="s">
        <v>283</v>
      </c>
      <c r="E12" s="2" t="s">
        <v>284</v>
      </c>
      <c r="F12" s="2">
        <v>27000</v>
      </c>
      <c r="G12" s="2" t="s">
        <v>310</v>
      </c>
      <c r="H12" s="2" t="s">
        <v>280</v>
      </c>
    </row>
    <row r="13" spans="1:8" x14ac:dyDescent="0.3">
      <c r="A13" s="3" t="s">
        <v>311</v>
      </c>
      <c r="B13" s="3" t="s">
        <v>312</v>
      </c>
      <c r="C13" s="3" t="s">
        <v>149</v>
      </c>
      <c r="D13" s="3" t="s">
        <v>278</v>
      </c>
      <c r="E13" s="3" t="s">
        <v>279</v>
      </c>
      <c r="F13" s="3">
        <v>52000</v>
      </c>
      <c r="G13" s="3" t="s">
        <v>152</v>
      </c>
      <c r="H13" s="3" t="s">
        <v>280</v>
      </c>
    </row>
    <row r="14" spans="1:8" x14ac:dyDescent="0.3">
      <c r="A14" s="2" t="s">
        <v>313</v>
      </c>
      <c r="B14" s="2" t="s">
        <v>314</v>
      </c>
      <c r="C14" s="2" t="s">
        <v>153</v>
      </c>
      <c r="D14" s="2" t="s">
        <v>278</v>
      </c>
      <c r="E14" s="2" t="s">
        <v>279</v>
      </c>
      <c r="F14" s="2">
        <v>63000</v>
      </c>
      <c r="G14" s="2" t="s">
        <v>158</v>
      </c>
      <c r="H14" s="2" t="s">
        <v>280</v>
      </c>
    </row>
    <row r="15" spans="1:8" x14ac:dyDescent="0.3">
      <c r="A15" s="3" t="s">
        <v>315</v>
      </c>
      <c r="B15" s="3" t="s">
        <v>316</v>
      </c>
      <c r="C15" s="3" t="s">
        <v>153</v>
      </c>
      <c r="D15" s="3" t="s">
        <v>283</v>
      </c>
      <c r="E15" s="3" t="s">
        <v>284</v>
      </c>
      <c r="F15" s="3">
        <v>26500</v>
      </c>
      <c r="G15" s="3" t="s">
        <v>202</v>
      </c>
      <c r="H15" s="3" t="s">
        <v>280</v>
      </c>
    </row>
    <row r="16" spans="1:8" x14ac:dyDescent="0.3">
      <c r="A16" s="2" t="s">
        <v>317</v>
      </c>
      <c r="B16" s="2" t="s">
        <v>318</v>
      </c>
      <c r="C16" s="2" t="s">
        <v>159</v>
      </c>
      <c r="D16" s="2" t="s">
        <v>278</v>
      </c>
      <c r="E16" s="2" t="s">
        <v>279</v>
      </c>
      <c r="F16" s="2">
        <v>50000</v>
      </c>
      <c r="G16" s="2" t="s">
        <v>162</v>
      </c>
      <c r="H16" s="2" t="s">
        <v>280</v>
      </c>
    </row>
    <row r="17" spans="1:8" x14ac:dyDescent="0.3">
      <c r="A17" s="3" t="s">
        <v>319</v>
      </c>
      <c r="B17" s="3" t="s">
        <v>320</v>
      </c>
      <c r="C17" s="3" t="s">
        <v>163</v>
      </c>
      <c r="D17" s="3" t="s">
        <v>278</v>
      </c>
      <c r="E17" s="3" t="s">
        <v>279</v>
      </c>
      <c r="F17" s="3">
        <v>60000</v>
      </c>
      <c r="G17" s="3" t="s">
        <v>169</v>
      </c>
      <c r="H17" s="3" t="s">
        <v>280</v>
      </c>
    </row>
    <row r="18" spans="1:8" x14ac:dyDescent="0.3">
      <c r="A18" s="2" t="s">
        <v>321</v>
      </c>
      <c r="B18" s="2" t="s">
        <v>322</v>
      </c>
      <c r="C18" s="2" t="s">
        <v>163</v>
      </c>
      <c r="D18" s="2" t="s">
        <v>283</v>
      </c>
      <c r="E18" s="2" t="s">
        <v>284</v>
      </c>
      <c r="F18" s="2">
        <v>27500</v>
      </c>
      <c r="G18" s="2" t="s">
        <v>323</v>
      </c>
      <c r="H18" s="7" t="s">
        <v>324</v>
      </c>
    </row>
    <row r="19" spans="1:8" x14ac:dyDescent="0.3">
      <c r="A19" s="3" t="s">
        <v>325</v>
      </c>
      <c r="B19" s="3" t="s">
        <v>326</v>
      </c>
      <c r="C19" s="3" t="s">
        <v>170</v>
      </c>
      <c r="D19" s="3" t="s">
        <v>278</v>
      </c>
      <c r="E19" s="3" t="s">
        <v>279</v>
      </c>
      <c r="F19" s="3">
        <v>48000</v>
      </c>
      <c r="G19" s="3" t="s">
        <v>173</v>
      </c>
      <c r="H19" s="3" t="s">
        <v>280</v>
      </c>
    </row>
    <row r="20" spans="1:8" x14ac:dyDescent="0.3">
      <c r="A20" s="2" t="s">
        <v>327</v>
      </c>
      <c r="B20" s="2" t="s">
        <v>328</v>
      </c>
      <c r="C20" s="2" t="s">
        <v>170</v>
      </c>
      <c r="D20" s="2" t="s">
        <v>287</v>
      </c>
      <c r="E20" s="2" t="s">
        <v>288</v>
      </c>
      <c r="F20" s="2">
        <v>21000</v>
      </c>
      <c r="G20" s="2" t="s">
        <v>329</v>
      </c>
      <c r="H20" s="2" t="s">
        <v>280</v>
      </c>
    </row>
    <row r="21" spans="1:8" x14ac:dyDescent="0.3">
      <c r="A21" s="3" t="s">
        <v>330</v>
      </c>
      <c r="B21" s="3" t="s">
        <v>331</v>
      </c>
      <c r="C21" s="3" t="s">
        <v>119</v>
      </c>
      <c r="D21" s="3" t="s">
        <v>332</v>
      </c>
      <c r="E21" s="3" t="s">
        <v>333</v>
      </c>
      <c r="F21" s="3">
        <v>18000</v>
      </c>
      <c r="G21" s="3" t="s">
        <v>334</v>
      </c>
      <c r="H21" s="3" t="s">
        <v>280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01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" customWidth="1"/>
    <col min="2" max="2" width="13" customWidth="1"/>
    <col min="3" max="3" width="12" customWidth="1"/>
    <col min="4" max="4" width="13" customWidth="1"/>
    <col min="5" max="6" width="10" customWidth="1"/>
    <col min="7" max="7" width="13" customWidth="1"/>
  </cols>
  <sheetData>
    <row r="1" spans="1:7" x14ac:dyDescent="0.3">
      <c r="A1" s="8" t="s">
        <v>335</v>
      </c>
      <c r="B1" s="8" t="s">
        <v>336</v>
      </c>
      <c r="C1" s="8" t="s">
        <v>0</v>
      </c>
      <c r="D1" s="8" t="s">
        <v>174</v>
      </c>
      <c r="E1" s="8" t="s">
        <v>110</v>
      </c>
      <c r="F1" s="8" t="s">
        <v>337</v>
      </c>
      <c r="G1" s="8" t="s">
        <v>338</v>
      </c>
    </row>
    <row r="2" spans="1:7" x14ac:dyDescent="0.3">
      <c r="A2" s="2" t="s">
        <v>339</v>
      </c>
      <c r="B2" s="2" t="s">
        <v>340</v>
      </c>
      <c r="C2" s="2" t="s">
        <v>24</v>
      </c>
      <c r="D2" s="2" t="s">
        <v>181</v>
      </c>
      <c r="E2" s="2" t="s">
        <v>142</v>
      </c>
      <c r="F2" s="2">
        <v>4</v>
      </c>
      <c r="G2" s="2">
        <v>5</v>
      </c>
    </row>
    <row r="3" spans="1:7" x14ac:dyDescent="0.3">
      <c r="A3" s="3" t="s">
        <v>341</v>
      </c>
      <c r="B3" s="3" t="s">
        <v>342</v>
      </c>
      <c r="C3" s="3" t="s">
        <v>24</v>
      </c>
      <c r="D3" s="3" t="s">
        <v>258</v>
      </c>
      <c r="E3" s="3" t="s">
        <v>126</v>
      </c>
      <c r="F3" s="3">
        <v>10</v>
      </c>
      <c r="G3" s="3">
        <v>10</v>
      </c>
    </row>
    <row r="4" spans="1:7" x14ac:dyDescent="0.3">
      <c r="A4" s="2" t="s">
        <v>343</v>
      </c>
      <c r="B4" s="2" t="s">
        <v>344</v>
      </c>
      <c r="C4" s="2" t="s">
        <v>8</v>
      </c>
      <c r="D4" s="2" t="s">
        <v>195</v>
      </c>
      <c r="E4" s="2" t="s">
        <v>138</v>
      </c>
      <c r="F4" s="2">
        <v>4</v>
      </c>
      <c r="G4" s="2">
        <v>20</v>
      </c>
    </row>
    <row r="5" spans="1:7" x14ac:dyDescent="0.3">
      <c r="A5" s="3" t="s">
        <v>345</v>
      </c>
      <c r="B5" s="3" t="s">
        <v>346</v>
      </c>
      <c r="C5" s="3" t="s">
        <v>8</v>
      </c>
      <c r="D5" s="3" t="s">
        <v>258</v>
      </c>
      <c r="E5" s="3" t="s">
        <v>138</v>
      </c>
      <c r="F5" s="3">
        <v>9</v>
      </c>
      <c r="G5" s="3">
        <v>10</v>
      </c>
    </row>
    <row r="6" spans="1:7" x14ac:dyDescent="0.3">
      <c r="A6" s="2" t="s">
        <v>347</v>
      </c>
      <c r="B6" s="2" t="s">
        <v>348</v>
      </c>
      <c r="C6" s="2" t="s">
        <v>80</v>
      </c>
      <c r="D6" s="2" t="s">
        <v>262</v>
      </c>
      <c r="E6" s="2" t="s">
        <v>142</v>
      </c>
      <c r="F6" s="2">
        <v>1</v>
      </c>
      <c r="G6" s="2">
        <v>0</v>
      </c>
    </row>
    <row r="7" spans="1:7" x14ac:dyDescent="0.3">
      <c r="A7" s="3" t="s">
        <v>349</v>
      </c>
      <c r="B7" s="3" t="s">
        <v>350</v>
      </c>
      <c r="C7" s="3" t="s">
        <v>75</v>
      </c>
      <c r="D7" s="3" t="s">
        <v>230</v>
      </c>
      <c r="E7" s="3" t="s">
        <v>142</v>
      </c>
      <c r="F7" s="3">
        <v>3</v>
      </c>
      <c r="G7" s="3">
        <v>5</v>
      </c>
    </row>
    <row r="8" spans="1:7" x14ac:dyDescent="0.3">
      <c r="A8" s="2" t="s">
        <v>351</v>
      </c>
      <c r="B8" s="2" t="s">
        <v>352</v>
      </c>
      <c r="C8" s="2" t="s">
        <v>24</v>
      </c>
      <c r="D8" s="2" t="s">
        <v>195</v>
      </c>
      <c r="E8" s="2" t="s">
        <v>153</v>
      </c>
      <c r="F8" s="2">
        <v>2</v>
      </c>
      <c r="G8" s="2">
        <v>10</v>
      </c>
    </row>
    <row r="9" spans="1:7" x14ac:dyDescent="0.3">
      <c r="A9" s="3" t="s">
        <v>353</v>
      </c>
      <c r="B9" s="3" t="s">
        <v>354</v>
      </c>
      <c r="C9" s="3" t="s">
        <v>106</v>
      </c>
      <c r="D9" s="3" t="s">
        <v>221</v>
      </c>
      <c r="E9" s="3" t="s">
        <v>119</v>
      </c>
      <c r="F9" s="3">
        <v>8</v>
      </c>
      <c r="G9" s="3">
        <v>20</v>
      </c>
    </row>
    <row r="10" spans="1:7" x14ac:dyDescent="0.3">
      <c r="A10" s="2" t="s">
        <v>355</v>
      </c>
      <c r="B10" s="2" t="s">
        <v>356</v>
      </c>
      <c r="C10" s="2" t="s">
        <v>69</v>
      </c>
      <c r="D10" s="2" t="s">
        <v>195</v>
      </c>
      <c r="E10" s="2" t="s">
        <v>163</v>
      </c>
      <c r="F10" s="2">
        <v>5</v>
      </c>
      <c r="G10" s="2">
        <v>10</v>
      </c>
    </row>
    <row r="11" spans="1:7" x14ac:dyDescent="0.3">
      <c r="A11" s="3" t="s">
        <v>357</v>
      </c>
      <c r="B11" s="3" t="s">
        <v>358</v>
      </c>
      <c r="C11" s="3" t="s">
        <v>39</v>
      </c>
      <c r="D11" s="3" t="s">
        <v>195</v>
      </c>
      <c r="E11" s="3" t="s">
        <v>119</v>
      </c>
      <c r="F11" s="3">
        <v>4</v>
      </c>
      <c r="G11" s="3">
        <v>5</v>
      </c>
    </row>
    <row r="12" spans="1:7" x14ac:dyDescent="0.3">
      <c r="A12" s="2" t="s">
        <v>359</v>
      </c>
      <c r="B12" s="2" t="s">
        <v>360</v>
      </c>
      <c r="C12" s="2" t="s">
        <v>44</v>
      </c>
      <c r="D12" s="2" t="s">
        <v>199</v>
      </c>
      <c r="E12" s="2" t="s">
        <v>153</v>
      </c>
      <c r="F12" s="2">
        <v>5</v>
      </c>
      <c r="G12" s="2">
        <v>15</v>
      </c>
    </row>
    <row r="13" spans="1:7" x14ac:dyDescent="0.3">
      <c r="A13" s="3" t="s">
        <v>361</v>
      </c>
      <c r="B13" s="3" t="s">
        <v>362</v>
      </c>
      <c r="C13" s="3" t="s">
        <v>65</v>
      </c>
      <c r="D13" s="3" t="s">
        <v>208</v>
      </c>
      <c r="E13" s="3" t="s">
        <v>149</v>
      </c>
      <c r="F13" s="3">
        <v>6</v>
      </c>
      <c r="G13" s="3">
        <v>5</v>
      </c>
    </row>
    <row r="14" spans="1:7" x14ac:dyDescent="0.3">
      <c r="A14" s="2" t="s">
        <v>363</v>
      </c>
      <c r="B14" s="2" t="s">
        <v>364</v>
      </c>
      <c r="C14" s="2" t="s">
        <v>49</v>
      </c>
      <c r="D14" s="2" t="s">
        <v>195</v>
      </c>
      <c r="E14" s="2" t="s">
        <v>170</v>
      </c>
      <c r="F14" s="2">
        <v>3</v>
      </c>
      <c r="G14" s="2">
        <v>20</v>
      </c>
    </row>
    <row r="15" spans="1:7" x14ac:dyDescent="0.3">
      <c r="A15" s="3" t="s">
        <v>365</v>
      </c>
      <c r="B15" s="3" t="s">
        <v>366</v>
      </c>
      <c r="C15" s="3" t="s">
        <v>33</v>
      </c>
      <c r="D15" s="3" t="s">
        <v>246</v>
      </c>
      <c r="E15" s="3" t="s">
        <v>153</v>
      </c>
      <c r="F15" s="3">
        <v>5</v>
      </c>
      <c r="G15" s="3">
        <v>20</v>
      </c>
    </row>
    <row r="16" spans="1:7" x14ac:dyDescent="0.3">
      <c r="A16" s="2" t="s">
        <v>367</v>
      </c>
      <c r="B16" s="2" t="s">
        <v>348</v>
      </c>
      <c r="C16" s="2" t="s">
        <v>60</v>
      </c>
      <c r="D16" s="2" t="s">
        <v>188</v>
      </c>
      <c r="E16" s="2" t="s">
        <v>138</v>
      </c>
      <c r="F16" s="2">
        <v>1</v>
      </c>
      <c r="G16" s="2">
        <v>10</v>
      </c>
    </row>
    <row r="17" spans="1:7" x14ac:dyDescent="0.3">
      <c r="A17" s="3" t="s">
        <v>368</v>
      </c>
      <c r="B17" s="3" t="s">
        <v>369</v>
      </c>
      <c r="C17" s="3" t="s">
        <v>49</v>
      </c>
      <c r="D17" s="3" t="s">
        <v>195</v>
      </c>
      <c r="E17" s="3" t="s">
        <v>138</v>
      </c>
      <c r="F17" s="3">
        <v>10</v>
      </c>
      <c r="G17" s="3">
        <v>10</v>
      </c>
    </row>
    <row r="18" spans="1:7" x14ac:dyDescent="0.3">
      <c r="A18" s="2" t="s">
        <v>370</v>
      </c>
      <c r="B18" s="2" t="s">
        <v>371</v>
      </c>
      <c r="C18" s="2" t="s">
        <v>86</v>
      </c>
      <c r="D18" s="2" t="s">
        <v>238</v>
      </c>
      <c r="E18" s="2" t="s">
        <v>159</v>
      </c>
      <c r="F18" s="2">
        <v>3</v>
      </c>
      <c r="G18" s="2">
        <v>5</v>
      </c>
    </row>
    <row r="19" spans="1:7" x14ac:dyDescent="0.3">
      <c r="A19" s="3" t="s">
        <v>372</v>
      </c>
      <c r="B19" s="3" t="s">
        <v>342</v>
      </c>
      <c r="C19" s="3" t="s">
        <v>44</v>
      </c>
      <c r="D19" s="3" t="s">
        <v>258</v>
      </c>
      <c r="E19" s="3" t="s">
        <v>163</v>
      </c>
      <c r="F19" s="3">
        <v>5</v>
      </c>
      <c r="G19" s="3">
        <v>10</v>
      </c>
    </row>
    <row r="20" spans="1:7" x14ac:dyDescent="0.3">
      <c r="A20" s="2" t="s">
        <v>373</v>
      </c>
      <c r="B20" s="2" t="s">
        <v>374</v>
      </c>
      <c r="C20" s="2" t="s">
        <v>69</v>
      </c>
      <c r="D20" s="2" t="s">
        <v>234</v>
      </c>
      <c r="E20" s="2" t="s">
        <v>138</v>
      </c>
      <c r="F20" s="2">
        <v>3</v>
      </c>
      <c r="G20" s="2">
        <v>20</v>
      </c>
    </row>
    <row r="21" spans="1:7" x14ac:dyDescent="0.3">
      <c r="A21" s="3" t="s">
        <v>375</v>
      </c>
      <c r="B21" s="3" t="s">
        <v>376</v>
      </c>
      <c r="C21" s="3" t="s">
        <v>19</v>
      </c>
      <c r="D21" s="3" t="s">
        <v>188</v>
      </c>
      <c r="E21" s="3" t="s">
        <v>126</v>
      </c>
      <c r="F21" s="3">
        <v>3</v>
      </c>
      <c r="G21" s="3">
        <v>0</v>
      </c>
    </row>
    <row r="22" spans="1:7" x14ac:dyDescent="0.3">
      <c r="A22" s="2" t="s">
        <v>377</v>
      </c>
      <c r="B22" s="2" t="s">
        <v>378</v>
      </c>
      <c r="C22" s="2" t="s">
        <v>75</v>
      </c>
      <c r="D22" s="2" t="s">
        <v>266</v>
      </c>
      <c r="E22" s="2" t="s">
        <v>126</v>
      </c>
      <c r="F22" s="2">
        <v>7</v>
      </c>
      <c r="G22" s="2">
        <v>10</v>
      </c>
    </row>
    <row r="23" spans="1:7" x14ac:dyDescent="0.3">
      <c r="A23" s="3" t="s">
        <v>379</v>
      </c>
      <c r="B23" s="3" t="s">
        <v>380</v>
      </c>
      <c r="C23" s="3" t="s">
        <v>80</v>
      </c>
      <c r="D23" s="3" t="s">
        <v>254</v>
      </c>
      <c r="E23" s="3" t="s">
        <v>142</v>
      </c>
      <c r="F23" s="3">
        <v>9</v>
      </c>
      <c r="G23" s="3">
        <v>0</v>
      </c>
    </row>
    <row r="24" spans="1:7" x14ac:dyDescent="0.3">
      <c r="A24" s="2" t="s">
        <v>381</v>
      </c>
      <c r="B24" s="2" t="s">
        <v>378</v>
      </c>
      <c r="C24" s="2" t="s">
        <v>24</v>
      </c>
      <c r="D24" s="2" t="s">
        <v>258</v>
      </c>
      <c r="E24" s="2" t="s">
        <v>142</v>
      </c>
      <c r="F24" s="2">
        <v>6</v>
      </c>
      <c r="G24" s="2">
        <v>0</v>
      </c>
    </row>
    <row r="25" spans="1:7" x14ac:dyDescent="0.3">
      <c r="A25" s="3" t="s">
        <v>382</v>
      </c>
      <c r="B25" s="3" t="s">
        <v>383</v>
      </c>
      <c r="C25" s="3" t="s">
        <v>75</v>
      </c>
      <c r="D25" s="3" t="s">
        <v>208</v>
      </c>
      <c r="E25" s="3" t="s">
        <v>159</v>
      </c>
      <c r="F25" s="3">
        <v>1</v>
      </c>
      <c r="G25" s="3">
        <v>5</v>
      </c>
    </row>
    <row r="26" spans="1:7" x14ac:dyDescent="0.3">
      <c r="A26" s="2" t="s">
        <v>384</v>
      </c>
      <c r="B26" s="2" t="s">
        <v>385</v>
      </c>
      <c r="C26" s="2" t="s">
        <v>33</v>
      </c>
      <c r="D26" s="2" t="s">
        <v>254</v>
      </c>
      <c r="E26" s="2" t="s">
        <v>126</v>
      </c>
      <c r="F26" s="2">
        <v>5</v>
      </c>
      <c r="G26" s="2">
        <v>20</v>
      </c>
    </row>
    <row r="27" spans="1:7" x14ac:dyDescent="0.3">
      <c r="A27" s="3" t="s">
        <v>386</v>
      </c>
      <c r="B27" s="3" t="s">
        <v>387</v>
      </c>
      <c r="C27" s="3" t="s">
        <v>39</v>
      </c>
      <c r="D27" s="3" t="s">
        <v>204</v>
      </c>
      <c r="E27" s="3" t="s">
        <v>149</v>
      </c>
      <c r="F27" s="3">
        <v>3</v>
      </c>
      <c r="G27" s="3">
        <v>20</v>
      </c>
    </row>
    <row r="28" spans="1:7" x14ac:dyDescent="0.3">
      <c r="A28" s="2" t="s">
        <v>388</v>
      </c>
      <c r="B28" s="2" t="s">
        <v>389</v>
      </c>
      <c r="C28" s="2" t="s">
        <v>8</v>
      </c>
      <c r="D28" s="2" t="s">
        <v>266</v>
      </c>
      <c r="E28" s="2" t="s">
        <v>149</v>
      </c>
      <c r="F28" s="2">
        <v>8</v>
      </c>
      <c r="G28" s="2">
        <v>0</v>
      </c>
    </row>
    <row r="29" spans="1:7" x14ac:dyDescent="0.3">
      <c r="A29" s="3" t="s">
        <v>390</v>
      </c>
      <c r="B29" s="3" t="s">
        <v>391</v>
      </c>
      <c r="C29" s="3" t="s">
        <v>65</v>
      </c>
      <c r="D29" s="3" t="s">
        <v>225</v>
      </c>
      <c r="E29" s="3" t="s">
        <v>138</v>
      </c>
      <c r="F29" s="3">
        <v>1</v>
      </c>
      <c r="G29" s="3">
        <v>5</v>
      </c>
    </row>
    <row r="30" spans="1:7" x14ac:dyDescent="0.3">
      <c r="A30" s="2" t="s">
        <v>392</v>
      </c>
      <c r="B30" s="2" t="s">
        <v>393</v>
      </c>
      <c r="C30" s="2" t="s">
        <v>19</v>
      </c>
      <c r="D30" s="2" t="s">
        <v>195</v>
      </c>
      <c r="E30" s="2" t="s">
        <v>159</v>
      </c>
      <c r="F30" s="2">
        <v>2</v>
      </c>
      <c r="G30" s="2">
        <v>20</v>
      </c>
    </row>
    <row r="31" spans="1:7" x14ac:dyDescent="0.3">
      <c r="A31" s="3" t="s">
        <v>394</v>
      </c>
      <c r="B31" s="3" t="s">
        <v>395</v>
      </c>
      <c r="C31" s="3" t="s">
        <v>30</v>
      </c>
      <c r="D31" s="3" t="s">
        <v>250</v>
      </c>
      <c r="E31" s="3" t="s">
        <v>163</v>
      </c>
      <c r="F31" s="3">
        <v>3</v>
      </c>
      <c r="G31" s="3">
        <v>5</v>
      </c>
    </row>
    <row r="32" spans="1:7" x14ac:dyDescent="0.3">
      <c r="A32" s="2" t="s">
        <v>396</v>
      </c>
      <c r="B32" s="2" t="s">
        <v>397</v>
      </c>
      <c r="C32" s="2" t="s">
        <v>106</v>
      </c>
      <c r="D32" s="2" t="s">
        <v>242</v>
      </c>
      <c r="E32" s="2" t="s">
        <v>138</v>
      </c>
      <c r="F32" s="2">
        <v>9</v>
      </c>
      <c r="G32" s="2">
        <v>5</v>
      </c>
    </row>
    <row r="33" spans="1:7" x14ac:dyDescent="0.3">
      <c r="A33" s="3" t="s">
        <v>398</v>
      </c>
      <c r="B33" s="3" t="s">
        <v>399</v>
      </c>
      <c r="C33" s="3" t="s">
        <v>69</v>
      </c>
      <c r="D33" s="3" t="s">
        <v>234</v>
      </c>
      <c r="E33" s="3" t="s">
        <v>159</v>
      </c>
      <c r="F33" s="3">
        <v>9</v>
      </c>
      <c r="G33" s="3">
        <v>15</v>
      </c>
    </row>
    <row r="34" spans="1:7" x14ac:dyDescent="0.3">
      <c r="A34" s="2" t="s">
        <v>400</v>
      </c>
      <c r="B34" s="2" t="s">
        <v>401</v>
      </c>
      <c r="C34" s="2" t="s">
        <v>44</v>
      </c>
      <c r="D34" s="2" t="s">
        <v>217</v>
      </c>
      <c r="E34" s="2" t="s">
        <v>126</v>
      </c>
      <c r="F34" s="2">
        <v>6</v>
      </c>
      <c r="G34" s="2">
        <v>0</v>
      </c>
    </row>
    <row r="35" spans="1:7" x14ac:dyDescent="0.3">
      <c r="A35" s="3" t="s">
        <v>402</v>
      </c>
      <c r="B35" s="3" t="s">
        <v>403</v>
      </c>
      <c r="C35" s="3" t="s">
        <v>96</v>
      </c>
      <c r="D35" s="3" t="s">
        <v>217</v>
      </c>
      <c r="E35" s="3" t="s">
        <v>170</v>
      </c>
      <c r="F35" s="3">
        <v>4</v>
      </c>
      <c r="G35" s="3">
        <v>0</v>
      </c>
    </row>
    <row r="36" spans="1:7" x14ac:dyDescent="0.3">
      <c r="A36" s="2" t="s">
        <v>404</v>
      </c>
      <c r="B36" s="2" t="s">
        <v>405</v>
      </c>
      <c r="C36" s="2" t="s">
        <v>14</v>
      </c>
      <c r="D36" s="2" t="s">
        <v>217</v>
      </c>
      <c r="E36" s="2" t="s">
        <v>126</v>
      </c>
      <c r="F36" s="2">
        <v>1</v>
      </c>
      <c r="G36" s="2">
        <v>10</v>
      </c>
    </row>
    <row r="37" spans="1:7" x14ac:dyDescent="0.3">
      <c r="A37" s="3" t="s">
        <v>406</v>
      </c>
      <c r="B37" s="3" t="s">
        <v>405</v>
      </c>
      <c r="C37" s="3" t="s">
        <v>91</v>
      </c>
      <c r="D37" s="3" t="s">
        <v>217</v>
      </c>
      <c r="E37" s="3" t="s">
        <v>142</v>
      </c>
      <c r="F37" s="3">
        <v>8</v>
      </c>
      <c r="G37" s="3">
        <v>5</v>
      </c>
    </row>
    <row r="38" spans="1:7" x14ac:dyDescent="0.3">
      <c r="A38" s="2" t="s">
        <v>407</v>
      </c>
      <c r="B38" s="2" t="s">
        <v>408</v>
      </c>
      <c r="C38" s="2" t="s">
        <v>30</v>
      </c>
      <c r="D38" s="2" t="s">
        <v>262</v>
      </c>
      <c r="E38" s="2" t="s">
        <v>170</v>
      </c>
      <c r="F38" s="2">
        <v>8</v>
      </c>
      <c r="G38" s="2">
        <v>5</v>
      </c>
    </row>
    <row r="39" spans="1:7" x14ac:dyDescent="0.3">
      <c r="A39" s="3" t="s">
        <v>409</v>
      </c>
      <c r="B39" s="3" t="s">
        <v>410</v>
      </c>
      <c r="C39" s="3" t="s">
        <v>75</v>
      </c>
      <c r="D39" s="3" t="s">
        <v>212</v>
      </c>
      <c r="E39" s="3" t="s">
        <v>126</v>
      </c>
      <c r="F39" s="3">
        <v>2</v>
      </c>
      <c r="G39" s="3">
        <v>10</v>
      </c>
    </row>
    <row r="40" spans="1:7" x14ac:dyDescent="0.3">
      <c r="A40" s="2" t="s">
        <v>411</v>
      </c>
      <c r="B40" s="2" t="s">
        <v>412</v>
      </c>
      <c r="C40" s="2" t="s">
        <v>75</v>
      </c>
      <c r="D40" s="2" t="s">
        <v>242</v>
      </c>
      <c r="E40" s="2" t="s">
        <v>159</v>
      </c>
      <c r="F40" s="2">
        <v>1</v>
      </c>
      <c r="G40" s="2">
        <v>0</v>
      </c>
    </row>
    <row r="41" spans="1:7" x14ac:dyDescent="0.3">
      <c r="A41" s="3" t="s">
        <v>413</v>
      </c>
      <c r="B41" s="3" t="s">
        <v>414</v>
      </c>
      <c r="C41" s="3" t="s">
        <v>69</v>
      </c>
      <c r="D41" s="3" t="s">
        <v>230</v>
      </c>
      <c r="E41" s="3" t="s">
        <v>126</v>
      </c>
      <c r="F41" s="3">
        <v>4</v>
      </c>
      <c r="G41" s="3">
        <v>5</v>
      </c>
    </row>
    <row r="42" spans="1:7" x14ac:dyDescent="0.3">
      <c r="A42" s="2" t="s">
        <v>415</v>
      </c>
      <c r="B42" s="2" t="s">
        <v>416</v>
      </c>
      <c r="C42" s="2" t="s">
        <v>96</v>
      </c>
      <c r="D42" s="2" t="s">
        <v>246</v>
      </c>
      <c r="E42" s="2" t="s">
        <v>131</v>
      </c>
      <c r="F42" s="2">
        <v>7</v>
      </c>
      <c r="G42" s="2">
        <v>0</v>
      </c>
    </row>
    <row r="43" spans="1:7" x14ac:dyDescent="0.3">
      <c r="A43" s="3" t="s">
        <v>417</v>
      </c>
      <c r="B43" s="3" t="s">
        <v>418</v>
      </c>
      <c r="C43" s="3" t="s">
        <v>80</v>
      </c>
      <c r="D43" s="3" t="s">
        <v>217</v>
      </c>
      <c r="E43" s="3" t="s">
        <v>126</v>
      </c>
      <c r="F43" s="3">
        <v>8</v>
      </c>
      <c r="G43" s="3">
        <v>20</v>
      </c>
    </row>
    <row r="44" spans="1:7" x14ac:dyDescent="0.3">
      <c r="A44" s="2" t="s">
        <v>419</v>
      </c>
      <c r="B44" s="2" t="s">
        <v>420</v>
      </c>
      <c r="C44" s="2" t="s">
        <v>14</v>
      </c>
      <c r="D44" s="2" t="s">
        <v>258</v>
      </c>
      <c r="E44" s="2" t="s">
        <v>119</v>
      </c>
      <c r="F44" s="2">
        <v>2</v>
      </c>
      <c r="G44" s="2">
        <v>5</v>
      </c>
    </row>
    <row r="45" spans="1:7" x14ac:dyDescent="0.3">
      <c r="A45" s="3" t="s">
        <v>421</v>
      </c>
      <c r="B45" s="3" t="s">
        <v>422</v>
      </c>
      <c r="C45" s="3" t="s">
        <v>75</v>
      </c>
      <c r="D45" s="3" t="s">
        <v>250</v>
      </c>
      <c r="E45" s="3" t="s">
        <v>159</v>
      </c>
      <c r="F45" s="3">
        <v>4</v>
      </c>
      <c r="G45" s="3">
        <v>10</v>
      </c>
    </row>
    <row r="46" spans="1:7" x14ac:dyDescent="0.3">
      <c r="A46" s="2" t="s">
        <v>423</v>
      </c>
      <c r="B46" s="2" t="s">
        <v>424</v>
      </c>
      <c r="C46" s="2" t="s">
        <v>33</v>
      </c>
      <c r="D46" s="2" t="s">
        <v>238</v>
      </c>
      <c r="E46" s="2" t="s">
        <v>119</v>
      </c>
      <c r="F46" s="2">
        <v>7</v>
      </c>
      <c r="G46" s="2">
        <v>5</v>
      </c>
    </row>
    <row r="47" spans="1:7" x14ac:dyDescent="0.3">
      <c r="A47" s="3" t="s">
        <v>425</v>
      </c>
      <c r="B47" s="3" t="s">
        <v>426</v>
      </c>
      <c r="C47" s="3" t="s">
        <v>55</v>
      </c>
      <c r="D47" s="3" t="s">
        <v>242</v>
      </c>
      <c r="E47" s="3" t="s">
        <v>163</v>
      </c>
      <c r="F47" s="3">
        <v>8</v>
      </c>
      <c r="G47" s="3">
        <v>0</v>
      </c>
    </row>
    <row r="48" spans="1:7" x14ac:dyDescent="0.3">
      <c r="A48" s="2" t="s">
        <v>427</v>
      </c>
      <c r="B48" s="2" t="s">
        <v>416</v>
      </c>
      <c r="C48" s="2" t="s">
        <v>55</v>
      </c>
      <c r="D48" s="2" t="s">
        <v>212</v>
      </c>
      <c r="E48" s="2" t="s">
        <v>119</v>
      </c>
      <c r="F48" s="2">
        <v>10</v>
      </c>
      <c r="G48" s="2">
        <v>20</v>
      </c>
    </row>
    <row r="49" spans="1:7" x14ac:dyDescent="0.3">
      <c r="A49" s="3" t="s">
        <v>428</v>
      </c>
      <c r="B49" s="3" t="s">
        <v>414</v>
      </c>
      <c r="C49" s="3" t="s">
        <v>60</v>
      </c>
      <c r="D49" s="3" t="s">
        <v>188</v>
      </c>
      <c r="E49" s="3" t="s">
        <v>119</v>
      </c>
      <c r="F49" s="3">
        <v>10</v>
      </c>
      <c r="G49" s="3">
        <v>15</v>
      </c>
    </row>
    <row r="50" spans="1:7" x14ac:dyDescent="0.3">
      <c r="A50" s="2" t="s">
        <v>429</v>
      </c>
      <c r="B50" s="2" t="s">
        <v>430</v>
      </c>
      <c r="C50" s="2" t="s">
        <v>91</v>
      </c>
      <c r="D50" s="2" t="s">
        <v>208</v>
      </c>
      <c r="E50" s="2" t="s">
        <v>119</v>
      </c>
      <c r="F50" s="2">
        <v>9</v>
      </c>
      <c r="G50" s="2">
        <v>0</v>
      </c>
    </row>
    <row r="51" spans="1:7" x14ac:dyDescent="0.3">
      <c r="A51" s="3" t="s">
        <v>431</v>
      </c>
      <c r="B51" s="3" t="s">
        <v>432</v>
      </c>
      <c r="C51" s="3" t="s">
        <v>19</v>
      </c>
      <c r="D51" s="3" t="s">
        <v>266</v>
      </c>
      <c r="E51" s="3" t="s">
        <v>126</v>
      </c>
      <c r="F51" s="3">
        <v>4</v>
      </c>
      <c r="G51" s="3">
        <v>10</v>
      </c>
    </row>
    <row r="52" spans="1:7" x14ac:dyDescent="0.3">
      <c r="A52" s="2" t="s">
        <v>433</v>
      </c>
      <c r="B52" s="2" t="s">
        <v>401</v>
      </c>
      <c r="C52" s="2" t="s">
        <v>101</v>
      </c>
      <c r="D52" s="2" t="s">
        <v>217</v>
      </c>
      <c r="E52" s="2" t="s">
        <v>170</v>
      </c>
      <c r="F52" s="2">
        <v>10</v>
      </c>
      <c r="G52" s="2">
        <v>0</v>
      </c>
    </row>
    <row r="53" spans="1:7" x14ac:dyDescent="0.3">
      <c r="A53" s="3" t="s">
        <v>434</v>
      </c>
      <c r="B53" s="3" t="s">
        <v>435</v>
      </c>
      <c r="C53" s="3" t="s">
        <v>19</v>
      </c>
      <c r="D53" s="3" t="s">
        <v>242</v>
      </c>
      <c r="E53" s="3" t="s">
        <v>170</v>
      </c>
      <c r="F53" s="3">
        <v>10</v>
      </c>
      <c r="G53" s="3">
        <v>20</v>
      </c>
    </row>
    <row r="54" spans="1:7" x14ac:dyDescent="0.3">
      <c r="A54" s="2" t="s">
        <v>436</v>
      </c>
      <c r="B54" s="2" t="s">
        <v>437</v>
      </c>
      <c r="C54" s="2" t="s">
        <v>49</v>
      </c>
      <c r="D54" s="2" t="s">
        <v>212</v>
      </c>
      <c r="E54" s="2" t="s">
        <v>149</v>
      </c>
      <c r="F54" s="2">
        <v>4</v>
      </c>
      <c r="G54" s="2">
        <v>5</v>
      </c>
    </row>
    <row r="55" spans="1:7" x14ac:dyDescent="0.3">
      <c r="A55" s="3" t="s">
        <v>438</v>
      </c>
      <c r="B55" s="3" t="s">
        <v>439</v>
      </c>
      <c r="C55" s="3" t="s">
        <v>30</v>
      </c>
      <c r="D55" s="3" t="s">
        <v>225</v>
      </c>
      <c r="E55" s="3" t="s">
        <v>159</v>
      </c>
      <c r="F55" s="3">
        <v>6</v>
      </c>
      <c r="G55" s="3">
        <v>0</v>
      </c>
    </row>
    <row r="56" spans="1:7" x14ac:dyDescent="0.3">
      <c r="A56" s="2" t="s">
        <v>440</v>
      </c>
      <c r="B56" s="2" t="s">
        <v>441</v>
      </c>
      <c r="C56" s="2" t="s">
        <v>80</v>
      </c>
      <c r="D56" s="2" t="s">
        <v>266</v>
      </c>
      <c r="E56" s="2" t="s">
        <v>170</v>
      </c>
      <c r="F56" s="2">
        <v>2</v>
      </c>
      <c r="G56" s="2">
        <v>0</v>
      </c>
    </row>
    <row r="57" spans="1:7" x14ac:dyDescent="0.3">
      <c r="A57" s="3" t="s">
        <v>442</v>
      </c>
      <c r="B57" s="3" t="s">
        <v>443</v>
      </c>
      <c r="C57" s="3" t="s">
        <v>39</v>
      </c>
      <c r="D57" s="3" t="s">
        <v>254</v>
      </c>
      <c r="E57" s="3" t="s">
        <v>142</v>
      </c>
      <c r="F57" s="3">
        <v>3</v>
      </c>
      <c r="G57" s="3">
        <v>10</v>
      </c>
    </row>
    <row r="58" spans="1:7" x14ac:dyDescent="0.3">
      <c r="A58" s="2" t="s">
        <v>444</v>
      </c>
      <c r="B58" s="2" t="s">
        <v>445</v>
      </c>
      <c r="C58" s="2" t="s">
        <v>44</v>
      </c>
      <c r="D58" s="2" t="s">
        <v>234</v>
      </c>
      <c r="E58" s="2" t="s">
        <v>142</v>
      </c>
      <c r="F58" s="2">
        <v>3</v>
      </c>
      <c r="G58" s="2">
        <v>15</v>
      </c>
    </row>
    <row r="59" spans="1:7" x14ac:dyDescent="0.3">
      <c r="A59" s="3" t="s">
        <v>446</v>
      </c>
      <c r="B59" s="3" t="s">
        <v>447</v>
      </c>
      <c r="C59" s="3" t="s">
        <v>55</v>
      </c>
      <c r="D59" s="3" t="s">
        <v>266</v>
      </c>
      <c r="E59" s="3" t="s">
        <v>163</v>
      </c>
      <c r="F59" s="3">
        <v>1</v>
      </c>
      <c r="G59" s="3">
        <v>20</v>
      </c>
    </row>
    <row r="60" spans="1:7" x14ac:dyDescent="0.3">
      <c r="A60" s="2" t="s">
        <v>448</v>
      </c>
      <c r="B60" s="2" t="s">
        <v>449</v>
      </c>
      <c r="C60" s="2" t="s">
        <v>24</v>
      </c>
      <c r="D60" s="2" t="s">
        <v>204</v>
      </c>
      <c r="E60" s="2" t="s">
        <v>142</v>
      </c>
      <c r="F60" s="2">
        <v>2</v>
      </c>
      <c r="G60" s="2">
        <v>0</v>
      </c>
    </row>
    <row r="61" spans="1:7" x14ac:dyDescent="0.3">
      <c r="A61" s="3" t="s">
        <v>450</v>
      </c>
      <c r="B61" s="3" t="s">
        <v>451</v>
      </c>
      <c r="C61" s="3" t="s">
        <v>30</v>
      </c>
      <c r="D61" s="3" t="s">
        <v>221</v>
      </c>
      <c r="E61" s="3" t="s">
        <v>142</v>
      </c>
      <c r="F61" s="3">
        <v>10</v>
      </c>
      <c r="G61" s="3">
        <v>5</v>
      </c>
    </row>
    <row r="62" spans="1:7" x14ac:dyDescent="0.3">
      <c r="A62" s="2" t="s">
        <v>452</v>
      </c>
      <c r="B62" s="2" t="s">
        <v>453</v>
      </c>
      <c r="C62" s="2" t="s">
        <v>39</v>
      </c>
      <c r="D62" s="2" t="s">
        <v>221</v>
      </c>
      <c r="E62" s="2" t="s">
        <v>163</v>
      </c>
      <c r="F62" s="2">
        <v>8</v>
      </c>
      <c r="G62" s="2">
        <v>5</v>
      </c>
    </row>
    <row r="63" spans="1:7" x14ac:dyDescent="0.3">
      <c r="A63" s="3" t="s">
        <v>454</v>
      </c>
      <c r="B63" s="3" t="s">
        <v>455</v>
      </c>
      <c r="C63" s="3" t="s">
        <v>19</v>
      </c>
      <c r="D63" s="3" t="s">
        <v>242</v>
      </c>
      <c r="E63" s="3" t="s">
        <v>142</v>
      </c>
      <c r="F63" s="3">
        <v>1</v>
      </c>
      <c r="G63" s="3">
        <v>0</v>
      </c>
    </row>
    <row r="64" spans="1:7" x14ac:dyDescent="0.3">
      <c r="A64" s="2" t="s">
        <v>456</v>
      </c>
      <c r="B64" s="2" t="s">
        <v>457</v>
      </c>
      <c r="C64" s="2" t="s">
        <v>30</v>
      </c>
      <c r="D64" s="2" t="s">
        <v>221</v>
      </c>
      <c r="E64" s="2" t="s">
        <v>131</v>
      </c>
      <c r="F64" s="2">
        <v>8</v>
      </c>
      <c r="G64" s="2">
        <v>20</v>
      </c>
    </row>
    <row r="65" spans="1:7" x14ac:dyDescent="0.3">
      <c r="A65" s="3" t="s">
        <v>458</v>
      </c>
      <c r="B65" s="3" t="s">
        <v>459</v>
      </c>
      <c r="C65" s="3" t="s">
        <v>75</v>
      </c>
      <c r="D65" s="3" t="s">
        <v>258</v>
      </c>
      <c r="E65" s="3" t="s">
        <v>119</v>
      </c>
      <c r="F65" s="3">
        <v>2</v>
      </c>
      <c r="G65" s="3">
        <v>0</v>
      </c>
    </row>
    <row r="66" spans="1:7" x14ac:dyDescent="0.3">
      <c r="A66" s="2" t="s">
        <v>460</v>
      </c>
      <c r="B66" s="2" t="s">
        <v>461</v>
      </c>
      <c r="C66" s="2" t="s">
        <v>30</v>
      </c>
      <c r="D66" s="2" t="s">
        <v>258</v>
      </c>
      <c r="E66" s="2" t="s">
        <v>119</v>
      </c>
      <c r="F66" s="2">
        <v>6</v>
      </c>
      <c r="G66" s="2">
        <v>20</v>
      </c>
    </row>
    <row r="67" spans="1:7" x14ac:dyDescent="0.3">
      <c r="A67" s="3" t="s">
        <v>462</v>
      </c>
      <c r="B67" s="3" t="s">
        <v>463</v>
      </c>
      <c r="C67" s="3" t="s">
        <v>75</v>
      </c>
      <c r="D67" s="3" t="s">
        <v>204</v>
      </c>
      <c r="E67" s="3" t="s">
        <v>119</v>
      </c>
      <c r="F67" s="3">
        <v>5</v>
      </c>
      <c r="G67" s="3">
        <v>10</v>
      </c>
    </row>
    <row r="68" spans="1:7" x14ac:dyDescent="0.3">
      <c r="A68" s="2" t="s">
        <v>464</v>
      </c>
      <c r="B68" s="2" t="s">
        <v>465</v>
      </c>
      <c r="C68" s="2" t="s">
        <v>65</v>
      </c>
      <c r="D68" s="2" t="s">
        <v>212</v>
      </c>
      <c r="E68" s="2" t="s">
        <v>138</v>
      </c>
      <c r="F68" s="2">
        <v>2</v>
      </c>
      <c r="G68" s="2">
        <v>10</v>
      </c>
    </row>
    <row r="69" spans="1:7" x14ac:dyDescent="0.3">
      <c r="A69" s="3" t="s">
        <v>466</v>
      </c>
      <c r="B69" s="3" t="s">
        <v>467</v>
      </c>
      <c r="C69" s="3" t="s">
        <v>75</v>
      </c>
      <c r="D69" s="3" t="s">
        <v>266</v>
      </c>
      <c r="E69" s="3" t="s">
        <v>131</v>
      </c>
      <c r="F69" s="3">
        <v>4</v>
      </c>
      <c r="G69" s="3">
        <v>0</v>
      </c>
    </row>
    <row r="70" spans="1:7" x14ac:dyDescent="0.3">
      <c r="A70" s="2" t="s">
        <v>468</v>
      </c>
      <c r="B70" s="2" t="s">
        <v>469</v>
      </c>
      <c r="C70" s="2" t="s">
        <v>75</v>
      </c>
      <c r="D70" s="2" t="s">
        <v>181</v>
      </c>
      <c r="E70" s="2" t="s">
        <v>131</v>
      </c>
      <c r="F70" s="2">
        <v>6</v>
      </c>
      <c r="G70" s="2">
        <v>10</v>
      </c>
    </row>
    <row r="71" spans="1:7" x14ac:dyDescent="0.3">
      <c r="A71" s="3" t="s">
        <v>470</v>
      </c>
      <c r="B71" s="3" t="s">
        <v>471</v>
      </c>
      <c r="C71" s="3" t="s">
        <v>44</v>
      </c>
      <c r="D71" s="3" t="s">
        <v>221</v>
      </c>
      <c r="E71" s="3" t="s">
        <v>131</v>
      </c>
      <c r="F71" s="3">
        <v>2</v>
      </c>
      <c r="G71" s="3">
        <v>10</v>
      </c>
    </row>
    <row r="72" spans="1:7" x14ac:dyDescent="0.3">
      <c r="A72" s="2" t="s">
        <v>472</v>
      </c>
      <c r="B72" s="2" t="s">
        <v>473</v>
      </c>
      <c r="C72" s="2" t="s">
        <v>86</v>
      </c>
      <c r="D72" s="2" t="s">
        <v>217</v>
      </c>
      <c r="E72" s="2" t="s">
        <v>138</v>
      </c>
      <c r="F72" s="2">
        <v>8</v>
      </c>
      <c r="G72" s="2">
        <v>10</v>
      </c>
    </row>
    <row r="73" spans="1:7" x14ac:dyDescent="0.3">
      <c r="A73" s="3" t="s">
        <v>474</v>
      </c>
      <c r="B73" s="3" t="s">
        <v>475</v>
      </c>
      <c r="C73" s="3" t="s">
        <v>44</v>
      </c>
      <c r="D73" s="3" t="s">
        <v>217</v>
      </c>
      <c r="E73" s="3" t="s">
        <v>119</v>
      </c>
      <c r="F73" s="3">
        <v>4</v>
      </c>
      <c r="G73" s="3">
        <v>10</v>
      </c>
    </row>
    <row r="74" spans="1:7" x14ac:dyDescent="0.3">
      <c r="A74" s="2" t="s">
        <v>476</v>
      </c>
      <c r="B74" s="2" t="s">
        <v>477</v>
      </c>
      <c r="C74" s="2" t="s">
        <v>49</v>
      </c>
      <c r="D74" s="2" t="s">
        <v>195</v>
      </c>
      <c r="E74" s="2" t="s">
        <v>142</v>
      </c>
      <c r="F74" s="2">
        <v>6</v>
      </c>
      <c r="G74" s="2">
        <v>20</v>
      </c>
    </row>
    <row r="75" spans="1:7" x14ac:dyDescent="0.3">
      <c r="A75" s="3" t="s">
        <v>478</v>
      </c>
      <c r="B75" s="3" t="s">
        <v>479</v>
      </c>
      <c r="C75" s="3" t="s">
        <v>96</v>
      </c>
      <c r="D75" s="3" t="s">
        <v>230</v>
      </c>
      <c r="E75" s="3" t="s">
        <v>119</v>
      </c>
      <c r="F75" s="3">
        <v>2</v>
      </c>
      <c r="G75" s="3">
        <v>5</v>
      </c>
    </row>
    <row r="76" spans="1:7" x14ac:dyDescent="0.3">
      <c r="A76" s="2" t="s">
        <v>480</v>
      </c>
      <c r="B76" s="2" t="s">
        <v>481</v>
      </c>
      <c r="C76" s="2" t="s">
        <v>101</v>
      </c>
      <c r="D76" s="2" t="s">
        <v>221</v>
      </c>
      <c r="E76" s="2" t="s">
        <v>119</v>
      </c>
      <c r="F76" s="2">
        <v>2</v>
      </c>
      <c r="G76" s="2">
        <v>10</v>
      </c>
    </row>
    <row r="77" spans="1:7" x14ac:dyDescent="0.3">
      <c r="A77" s="3" t="s">
        <v>482</v>
      </c>
      <c r="B77" s="3" t="s">
        <v>354</v>
      </c>
      <c r="C77" s="3" t="s">
        <v>60</v>
      </c>
      <c r="D77" s="3" t="s">
        <v>242</v>
      </c>
      <c r="E77" s="3" t="s">
        <v>170</v>
      </c>
      <c r="F77" s="3">
        <v>9</v>
      </c>
      <c r="G77" s="3">
        <v>0</v>
      </c>
    </row>
    <row r="78" spans="1:7" x14ac:dyDescent="0.3">
      <c r="A78" s="2" t="s">
        <v>483</v>
      </c>
      <c r="B78" s="2" t="s">
        <v>484</v>
      </c>
      <c r="C78" s="2" t="s">
        <v>101</v>
      </c>
      <c r="D78" s="2" t="s">
        <v>212</v>
      </c>
      <c r="E78" s="2" t="s">
        <v>142</v>
      </c>
      <c r="F78" s="2">
        <v>1</v>
      </c>
      <c r="G78" s="2">
        <v>10</v>
      </c>
    </row>
    <row r="79" spans="1:7" x14ac:dyDescent="0.3">
      <c r="A79" s="3" t="s">
        <v>485</v>
      </c>
      <c r="B79" s="3" t="s">
        <v>486</v>
      </c>
      <c r="C79" s="3" t="s">
        <v>91</v>
      </c>
      <c r="D79" s="3" t="s">
        <v>258</v>
      </c>
      <c r="E79" s="3" t="s">
        <v>138</v>
      </c>
      <c r="F79" s="3">
        <v>6</v>
      </c>
      <c r="G79" s="3">
        <v>10</v>
      </c>
    </row>
    <row r="80" spans="1:7" x14ac:dyDescent="0.3">
      <c r="A80" s="2" t="s">
        <v>487</v>
      </c>
      <c r="B80" s="2" t="s">
        <v>445</v>
      </c>
      <c r="C80" s="2" t="s">
        <v>60</v>
      </c>
      <c r="D80" s="2" t="s">
        <v>266</v>
      </c>
      <c r="E80" s="2" t="s">
        <v>149</v>
      </c>
      <c r="F80" s="2">
        <v>2</v>
      </c>
      <c r="G80" s="2">
        <v>5</v>
      </c>
    </row>
    <row r="81" spans="1:7" x14ac:dyDescent="0.3">
      <c r="A81" s="3" t="s">
        <v>488</v>
      </c>
      <c r="B81" s="3" t="s">
        <v>489</v>
      </c>
      <c r="C81" s="3" t="s">
        <v>55</v>
      </c>
      <c r="D81" s="3" t="s">
        <v>242</v>
      </c>
      <c r="E81" s="3" t="s">
        <v>149</v>
      </c>
      <c r="F81" s="3">
        <v>7</v>
      </c>
      <c r="G81" s="3">
        <v>5</v>
      </c>
    </row>
    <row r="82" spans="1:7" x14ac:dyDescent="0.3">
      <c r="A82" s="2" t="s">
        <v>490</v>
      </c>
      <c r="B82" s="2" t="s">
        <v>451</v>
      </c>
      <c r="C82" s="2" t="s">
        <v>30</v>
      </c>
      <c r="D82" s="2" t="s">
        <v>212</v>
      </c>
      <c r="E82" s="2" t="s">
        <v>153</v>
      </c>
      <c r="F82" s="2">
        <v>7</v>
      </c>
      <c r="G82" s="2">
        <v>0</v>
      </c>
    </row>
    <row r="83" spans="1:7" x14ac:dyDescent="0.3">
      <c r="A83" s="3" t="s">
        <v>491</v>
      </c>
      <c r="B83" s="3" t="s">
        <v>492</v>
      </c>
      <c r="C83" s="3" t="s">
        <v>101</v>
      </c>
      <c r="D83" s="3" t="s">
        <v>225</v>
      </c>
      <c r="E83" s="3" t="s">
        <v>153</v>
      </c>
      <c r="F83" s="3">
        <v>9</v>
      </c>
      <c r="G83" s="3">
        <v>0</v>
      </c>
    </row>
    <row r="84" spans="1:7" x14ac:dyDescent="0.3">
      <c r="A84" s="2" t="s">
        <v>493</v>
      </c>
      <c r="B84" s="2" t="s">
        <v>494</v>
      </c>
      <c r="C84" s="2" t="s">
        <v>55</v>
      </c>
      <c r="D84" s="2" t="s">
        <v>212</v>
      </c>
      <c r="E84" s="2" t="s">
        <v>153</v>
      </c>
      <c r="F84" s="2">
        <v>10</v>
      </c>
      <c r="G84" s="2">
        <v>10</v>
      </c>
    </row>
    <row r="85" spans="1:7" x14ac:dyDescent="0.3">
      <c r="A85" s="3" t="s">
        <v>495</v>
      </c>
      <c r="B85" s="3" t="s">
        <v>496</v>
      </c>
      <c r="C85" s="3" t="s">
        <v>80</v>
      </c>
      <c r="D85" s="3" t="s">
        <v>246</v>
      </c>
      <c r="E85" s="3" t="s">
        <v>138</v>
      </c>
      <c r="F85" s="3">
        <v>9</v>
      </c>
      <c r="G85" s="3">
        <v>15</v>
      </c>
    </row>
    <row r="86" spans="1:7" x14ac:dyDescent="0.3">
      <c r="A86" s="2" t="s">
        <v>497</v>
      </c>
      <c r="B86" s="2" t="s">
        <v>498</v>
      </c>
      <c r="C86" s="2" t="s">
        <v>19</v>
      </c>
      <c r="D86" s="2" t="s">
        <v>225</v>
      </c>
      <c r="E86" s="2" t="s">
        <v>163</v>
      </c>
      <c r="F86" s="2">
        <v>10</v>
      </c>
      <c r="G86" s="2">
        <v>10</v>
      </c>
    </row>
    <row r="87" spans="1:7" x14ac:dyDescent="0.3">
      <c r="A87" s="3" t="s">
        <v>499</v>
      </c>
      <c r="B87" s="3" t="s">
        <v>500</v>
      </c>
      <c r="C87" s="3" t="s">
        <v>44</v>
      </c>
      <c r="D87" s="3" t="s">
        <v>225</v>
      </c>
      <c r="E87" s="3" t="s">
        <v>138</v>
      </c>
      <c r="F87" s="3">
        <v>4</v>
      </c>
      <c r="G87" s="3">
        <v>0</v>
      </c>
    </row>
    <row r="88" spans="1:7" x14ac:dyDescent="0.3">
      <c r="A88" s="2" t="s">
        <v>501</v>
      </c>
      <c r="B88" s="2" t="s">
        <v>502</v>
      </c>
      <c r="C88" s="2" t="s">
        <v>14</v>
      </c>
      <c r="D88" s="2" t="s">
        <v>217</v>
      </c>
      <c r="E88" s="2" t="s">
        <v>159</v>
      </c>
      <c r="F88" s="2">
        <v>10</v>
      </c>
      <c r="G88" s="2">
        <v>0</v>
      </c>
    </row>
    <row r="89" spans="1:7" x14ac:dyDescent="0.3">
      <c r="A89" s="3" t="s">
        <v>503</v>
      </c>
      <c r="B89" s="3" t="s">
        <v>504</v>
      </c>
      <c r="C89" s="3" t="s">
        <v>75</v>
      </c>
      <c r="D89" s="3" t="s">
        <v>262</v>
      </c>
      <c r="E89" s="3" t="s">
        <v>138</v>
      </c>
      <c r="F89" s="3">
        <v>7</v>
      </c>
      <c r="G89" s="3">
        <v>15</v>
      </c>
    </row>
    <row r="90" spans="1:7" x14ac:dyDescent="0.3">
      <c r="A90" s="2" t="s">
        <v>505</v>
      </c>
      <c r="B90" s="2" t="s">
        <v>479</v>
      </c>
      <c r="C90" s="2" t="s">
        <v>44</v>
      </c>
      <c r="D90" s="2" t="s">
        <v>204</v>
      </c>
      <c r="E90" s="2" t="s">
        <v>119</v>
      </c>
      <c r="F90" s="2">
        <v>2</v>
      </c>
      <c r="G90" s="2">
        <v>10</v>
      </c>
    </row>
    <row r="91" spans="1:7" x14ac:dyDescent="0.3">
      <c r="A91" s="3" t="s">
        <v>506</v>
      </c>
      <c r="B91" s="3" t="s">
        <v>348</v>
      </c>
      <c r="C91" s="3" t="s">
        <v>33</v>
      </c>
      <c r="D91" s="3" t="s">
        <v>254</v>
      </c>
      <c r="E91" s="3" t="s">
        <v>159</v>
      </c>
      <c r="F91" s="3">
        <v>1</v>
      </c>
      <c r="G91" s="3">
        <v>20</v>
      </c>
    </row>
    <row r="92" spans="1:7" x14ac:dyDescent="0.3">
      <c r="A92" s="2" t="s">
        <v>507</v>
      </c>
      <c r="B92" s="2" t="s">
        <v>508</v>
      </c>
      <c r="C92" s="2" t="s">
        <v>24</v>
      </c>
      <c r="D92" s="2" t="s">
        <v>246</v>
      </c>
      <c r="E92" s="2" t="s">
        <v>131</v>
      </c>
      <c r="F92" s="2">
        <v>8</v>
      </c>
      <c r="G92" s="2">
        <v>20</v>
      </c>
    </row>
    <row r="93" spans="1:7" x14ac:dyDescent="0.3">
      <c r="A93" s="3" t="s">
        <v>509</v>
      </c>
      <c r="B93" s="3" t="s">
        <v>467</v>
      </c>
      <c r="C93" s="3" t="s">
        <v>106</v>
      </c>
      <c r="D93" s="3" t="s">
        <v>230</v>
      </c>
      <c r="E93" s="3" t="s">
        <v>159</v>
      </c>
      <c r="F93" s="3">
        <v>10</v>
      </c>
      <c r="G93" s="3">
        <v>20</v>
      </c>
    </row>
    <row r="94" spans="1:7" x14ac:dyDescent="0.3">
      <c r="A94" s="2" t="s">
        <v>510</v>
      </c>
      <c r="B94" s="2" t="s">
        <v>511</v>
      </c>
      <c r="C94" s="2" t="s">
        <v>96</v>
      </c>
      <c r="D94" s="2" t="s">
        <v>246</v>
      </c>
      <c r="E94" s="2" t="s">
        <v>131</v>
      </c>
      <c r="F94" s="2">
        <v>8</v>
      </c>
      <c r="G94" s="2">
        <v>15</v>
      </c>
    </row>
    <row r="95" spans="1:7" x14ac:dyDescent="0.3">
      <c r="A95" s="3" t="s">
        <v>512</v>
      </c>
      <c r="B95" s="3" t="s">
        <v>513</v>
      </c>
      <c r="C95" s="3" t="s">
        <v>44</v>
      </c>
      <c r="D95" s="3" t="s">
        <v>221</v>
      </c>
      <c r="E95" s="3" t="s">
        <v>163</v>
      </c>
      <c r="F95" s="3">
        <v>8</v>
      </c>
      <c r="G95" s="3">
        <v>5</v>
      </c>
    </row>
    <row r="96" spans="1:7" x14ac:dyDescent="0.3">
      <c r="A96" s="2" t="s">
        <v>514</v>
      </c>
      <c r="B96" s="2" t="s">
        <v>515</v>
      </c>
      <c r="C96" s="2" t="s">
        <v>80</v>
      </c>
      <c r="D96" s="2" t="s">
        <v>195</v>
      </c>
      <c r="E96" s="2" t="s">
        <v>142</v>
      </c>
      <c r="F96" s="2">
        <v>4</v>
      </c>
      <c r="G96" s="2">
        <v>5</v>
      </c>
    </row>
    <row r="97" spans="1:7" x14ac:dyDescent="0.3">
      <c r="A97" s="3" t="s">
        <v>516</v>
      </c>
      <c r="B97" s="3" t="s">
        <v>517</v>
      </c>
      <c r="C97" s="3" t="s">
        <v>60</v>
      </c>
      <c r="D97" s="3" t="s">
        <v>258</v>
      </c>
      <c r="E97" s="3" t="s">
        <v>126</v>
      </c>
      <c r="F97" s="3">
        <v>3</v>
      </c>
      <c r="G97" s="3">
        <v>0</v>
      </c>
    </row>
    <row r="98" spans="1:7" x14ac:dyDescent="0.3">
      <c r="A98" s="2" t="s">
        <v>518</v>
      </c>
      <c r="B98" s="2" t="s">
        <v>519</v>
      </c>
      <c r="C98" s="2" t="s">
        <v>69</v>
      </c>
      <c r="D98" s="2" t="s">
        <v>204</v>
      </c>
      <c r="E98" s="2" t="s">
        <v>138</v>
      </c>
      <c r="F98" s="2">
        <v>2</v>
      </c>
      <c r="G98" s="2">
        <v>10</v>
      </c>
    </row>
    <row r="99" spans="1:7" x14ac:dyDescent="0.3">
      <c r="A99" s="3" t="s">
        <v>520</v>
      </c>
      <c r="B99" s="3" t="s">
        <v>521</v>
      </c>
      <c r="C99" s="3" t="s">
        <v>60</v>
      </c>
      <c r="D99" s="3" t="s">
        <v>258</v>
      </c>
      <c r="E99" s="3" t="s">
        <v>159</v>
      </c>
      <c r="F99" s="3">
        <v>7</v>
      </c>
      <c r="G99" s="3">
        <v>0</v>
      </c>
    </row>
    <row r="100" spans="1:7" x14ac:dyDescent="0.3">
      <c r="A100" s="2" t="s">
        <v>522</v>
      </c>
      <c r="B100" s="2" t="s">
        <v>523</v>
      </c>
      <c r="C100" s="2" t="s">
        <v>75</v>
      </c>
      <c r="D100" s="2" t="s">
        <v>238</v>
      </c>
      <c r="E100" s="2" t="s">
        <v>170</v>
      </c>
      <c r="F100" s="2">
        <v>1</v>
      </c>
      <c r="G100" s="2">
        <v>10</v>
      </c>
    </row>
    <row r="101" spans="1:7" x14ac:dyDescent="0.3">
      <c r="A101" s="3" t="s">
        <v>524</v>
      </c>
      <c r="B101" s="3" t="s">
        <v>525</v>
      </c>
      <c r="C101" s="3" t="s">
        <v>8</v>
      </c>
      <c r="D101" s="3" t="s">
        <v>234</v>
      </c>
      <c r="E101" s="3" t="s">
        <v>142</v>
      </c>
      <c r="F101" s="3">
        <v>7</v>
      </c>
      <c r="G101" s="3">
        <v>10</v>
      </c>
    </row>
    <row r="102" spans="1:7" x14ac:dyDescent="0.3">
      <c r="A102" s="2" t="s">
        <v>526</v>
      </c>
      <c r="B102" s="2" t="s">
        <v>443</v>
      </c>
      <c r="C102" s="2" t="s">
        <v>96</v>
      </c>
      <c r="D102" s="2" t="s">
        <v>266</v>
      </c>
      <c r="E102" s="2" t="s">
        <v>138</v>
      </c>
      <c r="F102" s="2">
        <v>8</v>
      </c>
      <c r="G102" s="2">
        <v>5</v>
      </c>
    </row>
    <row r="103" spans="1:7" x14ac:dyDescent="0.3">
      <c r="A103" s="3" t="s">
        <v>527</v>
      </c>
      <c r="B103" s="3" t="s">
        <v>528</v>
      </c>
      <c r="C103" s="3" t="s">
        <v>75</v>
      </c>
      <c r="D103" s="3" t="s">
        <v>250</v>
      </c>
      <c r="E103" s="3" t="s">
        <v>119</v>
      </c>
      <c r="F103" s="3">
        <v>7</v>
      </c>
      <c r="G103" s="3">
        <v>10</v>
      </c>
    </row>
    <row r="104" spans="1:7" x14ac:dyDescent="0.3">
      <c r="A104" s="2" t="s">
        <v>529</v>
      </c>
      <c r="B104" s="2" t="s">
        <v>471</v>
      </c>
      <c r="C104" s="2" t="s">
        <v>69</v>
      </c>
      <c r="D104" s="2" t="s">
        <v>208</v>
      </c>
      <c r="E104" s="2" t="s">
        <v>159</v>
      </c>
      <c r="F104" s="2">
        <v>3</v>
      </c>
      <c r="G104" s="2">
        <v>20</v>
      </c>
    </row>
    <row r="105" spans="1:7" x14ac:dyDescent="0.3">
      <c r="A105" s="3" t="s">
        <v>530</v>
      </c>
      <c r="B105" s="3" t="s">
        <v>531</v>
      </c>
      <c r="C105" s="3" t="s">
        <v>69</v>
      </c>
      <c r="D105" s="3" t="s">
        <v>262</v>
      </c>
      <c r="E105" s="3" t="s">
        <v>170</v>
      </c>
      <c r="F105" s="3">
        <v>1</v>
      </c>
      <c r="G105" s="3">
        <v>0</v>
      </c>
    </row>
    <row r="106" spans="1:7" x14ac:dyDescent="0.3">
      <c r="A106" s="2" t="s">
        <v>532</v>
      </c>
      <c r="B106" s="2" t="s">
        <v>533</v>
      </c>
      <c r="C106" s="2" t="s">
        <v>75</v>
      </c>
      <c r="D106" s="2" t="s">
        <v>204</v>
      </c>
      <c r="E106" s="2" t="s">
        <v>159</v>
      </c>
      <c r="F106" s="2">
        <v>3</v>
      </c>
      <c r="G106" s="2">
        <v>0</v>
      </c>
    </row>
    <row r="107" spans="1:7" x14ac:dyDescent="0.3">
      <c r="A107" s="3" t="s">
        <v>534</v>
      </c>
      <c r="B107" s="3" t="s">
        <v>535</v>
      </c>
      <c r="C107" s="3" t="s">
        <v>69</v>
      </c>
      <c r="D107" s="3" t="s">
        <v>230</v>
      </c>
      <c r="E107" s="3" t="s">
        <v>138</v>
      </c>
      <c r="F107" s="3">
        <v>8</v>
      </c>
      <c r="G107" s="3">
        <v>10</v>
      </c>
    </row>
    <row r="108" spans="1:7" x14ac:dyDescent="0.3">
      <c r="A108" s="2" t="s">
        <v>536</v>
      </c>
      <c r="B108" s="2" t="s">
        <v>352</v>
      </c>
      <c r="C108" s="2" t="s">
        <v>69</v>
      </c>
      <c r="D108" s="2" t="s">
        <v>221</v>
      </c>
      <c r="E108" s="2" t="s">
        <v>153</v>
      </c>
      <c r="F108" s="2">
        <v>5</v>
      </c>
      <c r="G108" s="2">
        <v>0</v>
      </c>
    </row>
    <row r="109" spans="1:7" x14ac:dyDescent="0.3">
      <c r="A109" s="3" t="s">
        <v>537</v>
      </c>
      <c r="B109" s="3" t="s">
        <v>538</v>
      </c>
      <c r="C109" s="3" t="s">
        <v>8</v>
      </c>
      <c r="D109" s="3" t="s">
        <v>258</v>
      </c>
      <c r="E109" s="3" t="s">
        <v>119</v>
      </c>
      <c r="F109" s="3">
        <v>6</v>
      </c>
      <c r="G109" s="3">
        <v>5</v>
      </c>
    </row>
    <row r="110" spans="1:7" x14ac:dyDescent="0.3">
      <c r="A110" s="2" t="s">
        <v>539</v>
      </c>
      <c r="B110" s="2" t="s">
        <v>540</v>
      </c>
      <c r="C110" s="2" t="s">
        <v>19</v>
      </c>
      <c r="D110" s="2" t="s">
        <v>188</v>
      </c>
      <c r="E110" s="2" t="s">
        <v>119</v>
      </c>
      <c r="F110" s="2">
        <v>4</v>
      </c>
      <c r="G110" s="2">
        <v>5</v>
      </c>
    </row>
    <row r="111" spans="1:7" x14ac:dyDescent="0.3">
      <c r="A111" s="3" t="s">
        <v>541</v>
      </c>
      <c r="B111" s="3" t="s">
        <v>542</v>
      </c>
      <c r="C111" s="3" t="s">
        <v>106</v>
      </c>
      <c r="D111" s="3" t="s">
        <v>204</v>
      </c>
      <c r="E111" s="3" t="s">
        <v>138</v>
      </c>
      <c r="F111" s="3">
        <v>3</v>
      </c>
      <c r="G111" s="3">
        <v>15</v>
      </c>
    </row>
    <row r="112" spans="1:7" x14ac:dyDescent="0.3">
      <c r="A112" s="2" t="s">
        <v>543</v>
      </c>
      <c r="B112" s="2" t="s">
        <v>471</v>
      </c>
      <c r="C112" s="2" t="s">
        <v>24</v>
      </c>
      <c r="D112" s="2" t="s">
        <v>262</v>
      </c>
      <c r="E112" s="2" t="s">
        <v>138</v>
      </c>
      <c r="F112" s="2">
        <v>8</v>
      </c>
      <c r="G112" s="2">
        <v>5</v>
      </c>
    </row>
    <row r="113" spans="1:7" x14ac:dyDescent="0.3">
      <c r="A113" s="3" t="s">
        <v>544</v>
      </c>
      <c r="B113" s="3" t="s">
        <v>545</v>
      </c>
      <c r="C113" s="3" t="s">
        <v>33</v>
      </c>
      <c r="D113" s="3" t="s">
        <v>266</v>
      </c>
      <c r="E113" s="3" t="s">
        <v>170</v>
      </c>
      <c r="F113" s="3">
        <v>2</v>
      </c>
      <c r="G113" s="3">
        <v>0</v>
      </c>
    </row>
    <row r="114" spans="1:7" x14ac:dyDescent="0.3">
      <c r="A114" s="2" t="s">
        <v>546</v>
      </c>
      <c r="B114" s="2" t="s">
        <v>399</v>
      </c>
      <c r="C114" s="2" t="s">
        <v>24</v>
      </c>
      <c r="D114" s="2" t="s">
        <v>262</v>
      </c>
      <c r="E114" s="2" t="s">
        <v>119</v>
      </c>
      <c r="F114" s="2">
        <v>5</v>
      </c>
      <c r="G114" s="2">
        <v>10</v>
      </c>
    </row>
    <row r="115" spans="1:7" x14ac:dyDescent="0.3">
      <c r="A115" s="3" t="s">
        <v>547</v>
      </c>
      <c r="B115" s="3" t="s">
        <v>548</v>
      </c>
      <c r="C115" s="3" t="s">
        <v>39</v>
      </c>
      <c r="D115" s="3" t="s">
        <v>195</v>
      </c>
      <c r="E115" s="3" t="s">
        <v>170</v>
      </c>
      <c r="F115" s="3">
        <v>4</v>
      </c>
      <c r="G115" s="3">
        <v>0</v>
      </c>
    </row>
    <row r="116" spans="1:7" x14ac:dyDescent="0.3">
      <c r="A116" s="2" t="s">
        <v>549</v>
      </c>
      <c r="B116" s="2" t="s">
        <v>550</v>
      </c>
      <c r="C116" s="2" t="s">
        <v>55</v>
      </c>
      <c r="D116" s="2" t="s">
        <v>266</v>
      </c>
      <c r="E116" s="2" t="s">
        <v>126</v>
      </c>
      <c r="F116" s="2">
        <v>10</v>
      </c>
      <c r="G116" s="2">
        <v>0</v>
      </c>
    </row>
    <row r="117" spans="1:7" x14ac:dyDescent="0.3">
      <c r="A117" s="3" t="s">
        <v>551</v>
      </c>
      <c r="B117" s="3" t="s">
        <v>552</v>
      </c>
      <c r="C117" s="3" t="s">
        <v>96</v>
      </c>
      <c r="D117" s="3" t="s">
        <v>242</v>
      </c>
      <c r="E117" s="3" t="s">
        <v>149</v>
      </c>
      <c r="F117" s="3">
        <v>2</v>
      </c>
      <c r="G117" s="3">
        <v>20</v>
      </c>
    </row>
    <row r="118" spans="1:7" x14ac:dyDescent="0.3">
      <c r="A118" s="2" t="s">
        <v>553</v>
      </c>
      <c r="B118" s="2" t="s">
        <v>554</v>
      </c>
      <c r="C118" s="2" t="s">
        <v>60</v>
      </c>
      <c r="D118" s="2" t="s">
        <v>181</v>
      </c>
      <c r="E118" s="2" t="s">
        <v>153</v>
      </c>
      <c r="F118" s="2">
        <v>8</v>
      </c>
      <c r="G118" s="2">
        <v>0</v>
      </c>
    </row>
    <row r="119" spans="1:7" x14ac:dyDescent="0.3">
      <c r="A119" s="3" t="s">
        <v>555</v>
      </c>
      <c r="B119" s="3" t="s">
        <v>556</v>
      </c>
      <c r="C119" s="3" t="s">
        <v>65</v>
      </c>
      <c r="D119" s="3" t="s">
        <v>246</v>
      </c>
      <c r="E119" s="3" t="s">
        <v>131</v>
      </c>
      <c r="F119" s="3">
        <v>7</v>
      </c>
      <c r="G119" s="3">
        <v>0</v>
      </c>
    </row>
    <row r="120" spans="1:7" x14ac:dyDescent="0.3">
      <c r="A120" s="2" t="s">
        <v>557</v>
      </c>
      <c r="B120" s="2" t="s">
        <v>558</v>
      </c>
      <c r="C120" s="2" t="s">
        <v>49</v>
      </c>
      <c r="D120" s="2" t="s">
        <v>266</v>
      </c>
      <c r="E120" s="2" t="s">
        <v>163</v>
      </c>
      <c r="F120" s="2">
        <v>8</v>
      </c>
      <c r="G120" s="2">
        <v>15</v>
      </c>
    </row>
    <row r="121" spans="1:7" x14ac:dyDescent="0.3">
      <c r="A121" s="3" t="s">
        <v>559</v>
      </c>
      <c r="B121" s="3" t="s">
        <v>560</v>
      </c>
      <c r="C121" s="3" t="s">
        <v>101</v>
      </c>
      <c r="D121" s="3" t="s">
        <v>221</v>
      </c>
      <c r="E121" s="3" t="s">
        <v>149</v>
      </c>
      <c r="F121" s="3">
        <v>4</v>
      </c>
      <c r="G121" s="3">
        <v>0</v>
      </c>
    </row>
    <row r="122" spans="1:7" x14ac:dyDescent="0.3">
      <c r="A122" s="2" t="s">
        <v>561</v>
      </c>
      <c r="B122" s="2" t="s">
        <v>418</v>
      </c>
      <c r="C122" s="2" t="s">
        <v>80</v>
      </c>
      <c r="D122" s="2" t="s">
        <v>217</v>
      </c>
      <c r="E122" s="2" t="s">
        <v>159</v>
      </c>
      <c r="F122" s="2">
        <v>10</v>
      </c>
      <c r="G122" s="2">
        <v>10</v>
      </c>
    </row>
    <row r="123" spans="1:7" x14ac:dyDescent="0.3">
      <c r="A123" s="3" t="s">
        <v>562</v>
      </c>
      <c r="B123" s="3" t="s">
        <v>352</v>
      </c>
      <c r="C123" s="3" t="s">
        <v>8</v>
      </c>
      <c r="D123" s="3" t="s">
        <v>250</v>
      </c>
      <c r="E123" s="3" t="s">
        <v>149</v>
      </c>
      <c r="F123" s="3">
        <v>3</v>
      </c>
      <c r="G123" s="3">
        <v>15</v>
      </c>
    </row>
    <row r="124" spans="1:7" x14ac:dyDescent="0.3">
      <c r="A124" s="2" t="s">
        <v>563</v>
      </c>
      <c r="B124" s="2" t="s">
        <v>371</v>
      </c>
      <c r="C124" s="2" t="s">
        <v>65</v>
      </c>
      <c r="D124" s="2" t="s">
        <v>221</v>
      </c>
      <c r="E124" s="2" t="s">
        <v>149</v>
      </c>
      <c r="F124" s="2">
        <v>5</v>
      </c>
      <c r="G124" s="2">
        <v>5</v>
      </c>
    </row>
    <row r="125" spans="1:7" x14ac:dyDescent="0.3">
      <c r="A125" s="3" t="s">
        <v>564</v>
      </c>
      <c r="B125" s="3" t="s">
        <v>565</v>
      </c>
      <c r="C125" s="3" t="s">
        <v>8</v>
      </c>
      <c r="D125" s="3" t="s">
        <v>254</v>
      </c>
      <c r="E125" s="3" t="s">
        <v>138</v>
      </c>
      <c r="F125" s="3">
        <v>2</v>
      </c>
      <c r="G125" s="3">
        <v>5</v>
      </c>
    </row>
    <row r="126" spans="1:7" x14ac:dyDescent="0.3">
      <c r="A126" s="2" t="s">
        <v>566</v>
      </c>
      <c r="B126" s="2" t="s">
        <v>521</v>
      </c>
      <c r="C126" s="2" t="s">
        <v>86</v>
      </c>
      <c r="D126" s="2" t="s">
        <v>258</v>
      </c>
      <c r="E126" s="2" t="s">
        <v>138</v>
      </c>
      <c r="F126" s="2">
        <v>8</v>
      </c>
      <c r="G126" s="2">
        <v>15</v>
      </c>
    </row>
    <row r="127" spans="1:7" x14ac:dyDescent="0.3">
      <c r="A127" s="3" t="s">
        <v>567</v>
      </c>
      <c r="B127" s="3" t="s">
        <v>568</v>
      </c>
      <c r="C127" s="3" t="s">
        <v>8</v>
      </c>
      <c r="D127" s="3" t="s">
        <v>195</v>
      </c>
      <c r="E127" s="3" t="s">
        <v>142</v>
      </c>
      <c r="F127" s="3">
        <v>4</v>
      </c>
      <c r="G127" s="3">
        <v>10</v>
      </c>
    </row>
    <row r="128" spans="1:7" x14ac:dyDescent="0.3">
      <c r="A128" s="2" t="s">
        <v>569</v>
      </c>
      <c r="B128" s="2" t="s">
        <v>570</v>
      </c>
      <c r="C128" s="2" t="s">
        <v>44</v>
      </c>
      <c r="D128" s="2" t="s">
        <v>225</v>
      </c>
      <c r="E128" s="2" t="s">
        <v>170</v>
      </c>
      <c r="F128" s="2">
        <v>6</v>
      </c>
      <c r="G128" s="2">
        <v>15</v>
      </c>
    </row>
    <row r="129" spans="1:7" x14ac:dyDescent="0.3">
      <c r="A129" s="3" t="s">
        <v>571</v>
      </c>
      <c r="B129" s="3" t="s">
        <v>451</v>
      </c>
      <c r="C129" s="3" t="s">
        <v>91</v>
      </c>
      <c r="D129" s="3" t="s">
        <v>234</v>
      </c>
      <c r="E129" s="3" t="s">
        <v>153</v>
      </c>
      <c r="F129" s="3">
        <v>9</v>
      </c>
      <c r="G129" s="3">
        <v>10</v>
      </c>
    </row>
    <row r="130" spans="1:7" x14ac:dyDescent="0.3">
      <c r="A130" s="2" t="s">
        <v>572</v>
      </c>
      <c r="B130" s="2" t="s">
        <v>573</v>
      </c>
      <c r="C130" s="2" t="s">
        <v>80</v>
      </c>
      <c r="D130" s="2" t="s">
        <v>221</v>
      </c>
      <c r="E130" s="2" t="s">
        <v>142</v>
      </c>
      <c r="F130" s="2">
        <v>5</v>
      </c>
      <c r="G130" s="2">
        <v>5</v>
      </c>
    </row>
    <row r="131" spans="1:7" x14ac:dyDescent="0.3">
      <c r="A131" s="3" t="s">
        <v>574</v>
      </c>
      <c r="B131" s="3" t="s">
        <v>401</v>
      </c>
      <c r="C131" s="3" t="s">
        <v>39</v>
      </c>
      <c r="D131" s="3" t="s">
        <v>230</v>
      </c>
      <c r="E131" s="3" t="s">
        <v>126</v>
      </c>
      <c r="F131" s="3">
        <v>9</v>
      </c>
      <c r="G131" s="3">
        <v>0</v>
      </c>
    </row>
    <row r="132" spans="1:7" x14ac:dyDescent="0.3">
      <c r="A132" s="2" t="s">
        <v>575</v>
      </c>
      <c r="B132" s="2" t="s">
        <v>576</v>
      </c>
      <c r="C132" s="2" t="s">
        <v>39</v>
      </c>
      <c r="D132" s="2" t="s">
        <v>250</v>
      </c>
      <c r="E132" s="2" t="s">
        <v>142</v>
      </c>
      <c r="F132" s="2">
        <v>10</v>
      </c>
      <c r="G132" s="2">
        <v>20</v>
      </c>
    </row>
    <row r="133" spans="1:7" x14ac:dyDescent="0.3">
      <c r="A133" s="3" t="s">
        <v>577</v>
      </c>
      <c r="B133" s="3" t="s">
        <v>380</v>
      </c>
      <c r="C133" s="3" t="s">
        <v>55</v>
      </c>
      <c r="D133" s="3" t="s">
        <v>199</v>
      </c>
      <c r="E133" s="3" t="s">
        <v>138</v>
      </c>
      <c r="F133" s="3">
        <v>5</v>
      </c>
      <c r="G133" s="3">
        <v>5</v>
      </c>
    </row>
    <row r="134" spans="1:7" x14ac:dyDescent="0.3">
      <c r="A134" s="2" t="s">
        <v>578</v>
      </c>
      <c r="B134" s="2" t="s">
        <v>579</v>
      </c>
      <c r="C134" s="2" t="s">
        <v>33</v>
      </c>
      <c r="D134" s="2" t="s">
        <v>225</v>
      </c>
      <c r="E134" s="2" t="s">
        <v>119</v>
      </c>
      <c r="F134" s="2">
        <v>9</v>
      </c>
      <c r="G134" s="2">
        <v>0</v>
      </c>
    </row>
    <row r="135" spans="1:7" x14ac:dyDescent="0.3">
      <c r="A135" s="3" t="s">
        <v>580</v>
      </c>
      <c r="B135" s="3" t="s">
        <v>515</v>
      </c>
      <c r="C135" s="3" t="s">
        <v>14</v>
      </c>
      <c r="D135" s="3" t="s">
        <v>188</v>
      </c>
      <c r="E135" s="3" t="s">
        <v>163</v>
      </c>
      <c r="F135" s="3">
        <v>5</v>
      </c>
      <c r="G135" s="3">
        <v>0</v>
      </c>
    </row>
    <row r="136" spans="1:7" x14ac:dyDescent="0.3">
      <c r="A136" s="2" t="s">
        <v>581</v>
      </c>
      <c r="B136" s="2" t="s">
        <v>582</v>
      </c>
      <c r="C136" s="2" t="s">
        <v>86</v>
      </c>
      <c r="D136" s="2" t="s">
        <v>199</v>
      </c>
      <c r="E136" s="2" t="s">
        <v>119</v>
      </c>
      <c r="F136" s="2">
        <v>10</v>
      </c>
      <c r="G136" s="2">
        <v>5</v>
      </c>
    </row>
    <row r="137" spans="1:7" x14ac:dyDescent="0.3">
      <c r="A137" s="3" t="s">
        <v>583</v>
      </c>
      <c r="B137" s="3" t="s">
        <v>538</v>
      </c>
      <c r="C137" s="3" t="s">
        <v>86</v>
      </c>
      <c r="D137" s="3" t="s">
        <v>246</v>
      </c>
      <c r="E137" s="3" t="s">
        <v>149</v>
      </c>
      <c r="F137" s="3">
        <v>3</v>
      </c>
      <c r="G137" s="3">
        <v>0</v>
      </c>
    </row>
    <row r="138" spans="1:7" x14ac:dyDescent="0.3">
      <c r="A138" s="2" t="s">
        <v>584</v>
      </c>
      <c r="B138" s="2" t="s">
        <v>585</v>
      </c>
      <c r="C138" s="2" t="s">
        <v>86</v>
      </c>
      <c r="D138" s="2" t="s">
        <v>199</v>
      </c>
      <c r="E138" s="2" t="s">
        <v>126</v>
      </c>
      <c r="F138" s="2">
        <v>7</v>
      </c>
      <c r="G138" s="2">
        <v>15</v>
      </c>
    </row>
    <row r="139" spans="1:7" x14ac:dyDescent="0.3">
      <c r="A139" s="3" t="s">
        <v>586</v>
      </c>
      <c r="B139" s="3" t="s">
        <v>587</v>
      </c>
      <c r="C139" s="3" t="s">
        <v>101</v>
      </c>
      <c r="D139" s="3" t="s">
        <v>188</v>
      </c>
      <c r="E139" s="3" t="s">
        <v>131</v>
      </c>
      <c r="F139" s="3">
        <v>3</v>
      </c>
      <c r="G139" s="3">
        <v>5</v>
      </c>
    </row>
    <row r="140" spans="1:7" x14ac:dyDescent="0.3">
      <c r="A140" s="2" t="s">
        <v>588</v>
      </c>
      <c r="B140" s="2" t="s">
        <v>589</v>
      </c>
      <c r="C140" s="2" t="s">
        <v>44</v>
      </c>
      <c r="D140" s="2" t="s">
        <v>199</v>
      </c>
      <c r="E140" s="2" t="s">
        <v>163</v>
      </c>
      <c r="F140" s="2">
        <v>7</v>
      </c>
      <c r="G140" s="2">
        <v>5</v>
      </c>
    </row>
    <row r="141" spans="1:7" x14ac:dyDescent="0.3">
      <c r="A141" s="3" t="s">
        <v>590</v>
      </c>
      <c r="B141" s="3" t="s">
        <v>558</v>
      </c>
      <c r="C141" s="3" t="s">
        <v>69</v>
      </c>
      <c r="D141" s="3" t="s">
        <v>246</v>
      </c>
      <c r="E141" s="3" t="s">
        <v>159</v>
      </c>
      <c r="F141" s="3">
        <v>5</v>
      </c>
      <c r="G141" s="3">
        <v>10</v>
      </c>
    </row>
    <row r="142" spans="1:7" x14ac:dyDescent="0.3">
      <c r="A142" s="2" t="s">
        <v>591</v>
      </c>
      <c r="B142" s="2" t="s">
        <v>475</v>
      </c>
      <c r="C142" s="2" t="s">
        <v>101</v>
      </c>
      <c r="D142" s="2" t="s">
        <v>266</v>
      </c>
      <c r="E142" s="2" t="s">
        <v>119</v>
      </c>
      <c r="F142" s="2">
        <v>10</v>
      </c>
      <c r="G142" s="2">
        <v>0</v>
      </c>
    </row>
    <row r="143" spans="1:7" x14ac:dyDescent="0.3">
      <c r="A143" s="3" t="s">
        <v>592</v>
      </c>
      <c r="B143" s="3" t="s">
        <v>593</v>
      </c>
      <c r="C143" s="3" t="s">
        <v>39</v>
      </c>
      <c r="D143" s="3" t="s">
        <v>221</v>
      </c>
      <c r="E143" s="3" t="s">
        <v>126</v>
      </c>
      <c r="F143" s="3">
        <v>3</v>
      </c>
      <c r="G143" s="3">
        <v>5</v>
      </c>
    </row>
    <row r="144" spans="1:7" x14ac:dyDescent="0.3">
      <c r="A144" s="2" t="s">
        <v>594</v>
      </c>
      <c r="B144" s="2" t="s">
        <v>595</v>
      </c>
      <c r="C144" s="2" t="s">
        <v>96</v>
      </c>
      <c r="D144" s="2" t="s">
        <v>195</v>
      </c>
      <c r="E144" s="2" t="s">
        <v>131</v>
      </c>
      <c r="F144" s="2">
        <v>1</v>
      </c>
      <c r="G144" s="2">
        <v>10</v>
      </c>
    </row>
    <row r="145" spans="1:7" x14ac:dyDescent="0.3">
      <c r="A145" s="3" t="s">
        <v>596</v>
      </c>
      <c r="B145" s="3" t="s">
        <v>597</v>
      </c>
      <c r="C145" s="3" t="s">
        <v>106</v>
      </c>
      <c r="D145" s="3" t="s">
        <v>250</v>
      </c>
      <c r="E145" s="3" t="s">
        <v>142</v>
      </c>
      <c r="F145" s="3">
        <v>1</v>
      </c>
      <c r="G145" s="3">
        <v>5</v>
      </c>
    </row>
    <row r="146" spans="1:7" x14ac:dyDescent="0.3">
      <c r="A146" s="2" t="s">
        <v>598</v>
      </c>
      <c r="B146" s="2" t="s">
        <v>599</v>
      </c>
      <c r="C146" s="2" t="s">
        <v>55</v>
      </c>
      <c r="D146" s="2" t="s">
        <v>246</v>
      </c>
      <c r="E146" s="2" t="s">
        <v>126</v>
      </c>
      <c r="F146" s="2">
        <v>4</v>
      </c>
      <c r="G146" s="2">
        <v>5</v>
      </c>
    </row>
    <row r="147" spans="1:7" x14ac:dyDescent="0.3">
      <c r="A147" s="3" t="s">
        <v>600</v>
      </c>
      <c r="B147" s="3" t="s">
        <v>601</v>
      </c>
      <c r="C147" s="3" t="s">
        <v>101</v>
      </c>
      <c r="D147" s="3" t="s">
        <v>212</v>
      </c>
      <c r="E147" s="3" t="s">
        <v>153</v>
      </c>
      <c r="F147" s="3">
        <v>2</v>
      </c>
      <c r="G147" s="3">
        <v>20</v>
      </c>
    </row>
    <row r="148" spans="1:7" x14ac:dyDescent="0.3">
      <c r="A148" s="2" t="s">
        <v>602</v>
      </c>
      <c r="B148" s="2" t="s">
        <v>603</v>
      </c>
      <c r="C148" s="2" t="s">
        <v>30</v>
      </c>
      <c r="D148" s="2" t="s">
        <v>221</v>
      </c>
      <c r="E148" s="2" t="s">
        <v>131</v>
      </c>
      <c r="F148" s="2">
        <v>2</v>
      </c>
      <c r="G148" s="2">
        <v>0</v>
      </c>
    </row>
    <row r="149" spans="1:7" x14ac:dyDescent="0.3">
      <c r="A149" s="3" t="s">
        <v>604</v>
      </c>
      <c r="B149" s="3" t="s">
        <v>605</v>
      </c>
      <c r="C149" s="3" t="s">
        <v>55</v>
      </c>
      <c r="D149" s="3" t="s">
        <v>266</v>
      </c>
      <c r="E149" s="3" t="s">
        <v>170</v>
      </c>
      <c r="F149" s="3">
        <v>5</v>
      </c>
      <c r="G149" s="3">
        <v>15</v>
      </c>
    </row>
    <row r="150" spans="1:7" x14ac:dyDescent="0.3">
      <c r="A150" s="2" t="s">
        <v>606</v>
      </c>
      <c r="B150" s="2" t="s">
        <v>356</v>
      </c>
      <c r="C150" s="2" t="s">
        <v>80</v>
      </c>
      <c r="D150" s="2" t="s">
        <v>225</v>
      </c>
      <c r="E150" s="2" t="s">
        <v>153</v>
      </c>
      <c r="F150" s="2">
        <v>5</v>
      </c>
      <c r="G150" s="2">
        <v>20</v>
      </c>
    </row>
    <row r="151" spans="1:7" x14ac:dyDescent="0.3">
      <c r="A151" s="3" t="s">
        <v>607</v>
      </c>
      <c r="B151" s="3" t="s">
        <v>408</v>
      </c>
      <c r="C151" s="3" t="s">
        <v>86</v>
      </c>
      <c r="D151" s="3" t="s">
        <v>246</v>
      </c>
      <c r="E151" s="3" t="s">
        <v>126</v>
      </c>
      <c r="F151" s="3">
        <v>10</v>
      </c>
      <c r="G151" s="3">
        <v>0</v>
      </c>
    </row>
    <row r="152" spans="1:7" x14ac:dyDescent="0.3">
      <c r="A152" s="2" t="s">
        <v>608</v>
      </c>
      <c r="B152" s="2" t="s">
        <v>556</v>
      </c>
      <c r="C152" s="2" t="s">
        <v>60</v>
      </c>
      <c r="D152" s="2" t="s">
        <v>266</v>
      </c>
      <c r="E152" s="2" t="s">
        <v>142</v>
      </c>
      <c r="F152" s="2">
        <v>1</v>
      </c>
      <c r="G152" s="2">
        <v>0</v>
      </c>
    </row>
    <row r="153" spans="1:7" x14ac:dyDescent="0.3">
      <c r="A153" s="3" t="s">
        <v>609</v>
      </c>
      <c r="B153" s="3" t="s">
        <v>610</v>
      </c>
      <c r="C153" s="3" t="s">
        <v>101</v>
      </c>
      <c r="D153" s="3" t="s">
        <v>262</v>
      </c>
      <c r="E153" s="3" t="s">
        <v>119</v>
      </c>
      <c r="F153" s="3">
        <v>5</v>
      </c>
      <c r="G153" s="3">
        <v>0</v>
      </c>
    </row>
    <row r="154" spans="1:7" x14ac:dyDescent="0.3">
      <c r="A154" s="2" t="s">
        <v>611</v>
      </c>
      <c r="B154" s="2" t="s">
        <v>612</v>
      </c>
      <c r="C154" s="2" t="s">
        <v>86</v>
      </c>
      <c r="D154" s="2" t="s">
        <v>254</v>
      </c>
      <c r="E154" s="2" t="s">
        <v>159</v>
      </c>
      <c r="F154" s="2">
        <v>5</v>
      </c>
      <c r="G154" s="2">
        <v>0</v>
      </c>
    </row>
    <row r="155" spans="1:7" x14ac:dyDescent="0.3">
      <c r="A155" s="3" t="s">
        <v>613</v>
      </c>
      <c r="B155" s="3" t="s">
        <v>614</v>
      </c>
      <c r="C155" s="3" t="s">
        <v>75</v>
      </c>
      <c r="D155" s="3" t="s">
        <v>250</v>
      </c>
      <c r="E155" s="3" t="s">
        <v>126</v>
      </c>
      <c r="F155" s="3">
        <v>8</v>
      </c>
      <c r="G155" s="3">
        <v>10</v>
      </c>
    </row>
    <row r="156" spans="1:7" x14ac:dyDescent="0.3">
      <c r="A156" s="2" t="s">
        <v>615</v>
      </c>
      <c r="B156" s="2" t="s">
        <v>616</v>
      </c>
      <c r="C156" s="2" t="s">
        <v>60</v>
      </c>
      <c r="D156" s="2" t="s">
        <v>230</v>
      </c>
      <c r="E156" s="2" t="s">
        <v>126</v>
      </c>
      <c r="F156" s="2">
        <v>3</v>
      </c>
      <c r="G156" s="2">
        <v>10</v>
      </c>
    </row>
    <row r="157" spans="1:7" x14ac:dyDescent="0.3">
      <c r="A157" s="3" t="s">
        <v>617</v>
      </c>
      <c r="B157" s="3" t="s">
        <v>618</v>
      </c>
      <c r="C157" s="3" t="s">
        <v>86</v>
      </c>
      <c r="D157" s="3" t="s">
        <v>225</v>
      </c>
      <c r="E157" s="3" t="s">
        <v>153</v>
      </c>
      <c r="F157" s="3">
        <v>9</v>
      </c>
      <c r="G157" s="3">
        <v>0</v>
      </c>
    </row>
    <row r="158" spans="1:7" x14ac:dyDescent="0.3">
      <c r="A158" s="2" t="s">
        <v>619</v>
      </c>
      <c r="B158" s="2" t="s">
        <v>426</v>
      </c>
      <c r="C158" s="2" t="s">
        <v>19</v>
      </c>
      <c r="D158" s="2" t="s">
        <v>230</v>
      </c>
      <c r="E158" s="2" t="s">
        <v>142</v>
      </c>
      <c r="F158" s="2">
        <v>6</v>
      </c>
      <c r="G158" s="2">
        <v>0</v>
      </c>
    </row>
    <row r="159" spans="1:7" x14ac:dyDescent="0.3">
      <c r="A159" s="3" t="s">
        <v>620</v>
      </c>
      <c r="B159" s="3" t="s">
        <v>621</v>
      </c>
      <c r="C159" s="3" t="s">
        <v>91</v>
      </c>
      <c r="D159" s="3" t="s">
        <v>181</v>
      </c>
      <c r="E159" s="3" t="s">
        <v>163</v>
      </c>
      <c r="F159" s="3">
        <v>8</v>
      </c>
      <c r="G159" s="3">
        <v>10</v>
      </c>
    </row>
    <row r="160" spans="1:7" x14ac:dyDescent="0.3">
      <c r="A160" s="2" t="s">
        <v>622</v>
      </c>
      <c r="B160" s="2" t="s">
        <v>623</v>
      </c>
      <c r="C160" s="2" t="s">
        <v>39</v>
      </c>
      <c r="D160" s="2" t="s">
        <v>254</v>
      </c>
      <c r="E160" s="2" t="s">
        <v>149</v>
      </c>
      <c r="F160" s="2">
        <v>10</v>
      </c>
      <c r="G160" s="2">
        <v>15</v>
      </c>
    </row>
    <row r="161" spans="1:7" x14ac:dyDescent="0.3">
      <c r="A161" s="3" t="s">
        <v>624</v>
      </c>
      <c r="B161" s="3" t="s">
        <v>601</v>
      </c>
      <c r="C161" s="3" t="s">
        <v>80</v>
      </c>
      <c r="D161" s="3" t="s">
        <v>188</v>
      </c>
      <c r="E161" s="3" t="s">
        <v>138</v>
      </c>
      <c r="F161" s="3">
        <v>5</v>
      </c>
      <c r="G161" s="3">
        <v>20</v>
      </c>
    </row>
    <row r="162" spans="1:7" x14ac:dyDescent="0.3">
      <c r="A162" s="2" t="s">
        <v>625</v>
      </c>
      <c r="B162" s="2" t="s">
        <v>626</v>
      </c>
      <c r="C162" s="2" t="s">
        <v>55</v>
      </c>
      <c r="D162" s="2" t="s">
        <v>246</v>
      </c>
      <c r="E162" s="2" t="s">
        <v>159</v>
      </c>
      <c r="F162" s="2">
        <v>2</v>
      </c>
      <c r="G162" s="2">
        <v>0</v>
      </c>
    </row>
    <row r="163" spans="1:7" x14ac:dyDescent="0.3">
      <c r="A163" s="3" t="s">
        <v>627</v>
      </c>
      <c r="B163" s="3" t="s">
        <v>628</v>
      </c>
      <c r="C163" s="3" t="s">
        <v>106</v>
      </c>
      <c r="D163" s="3" t="s">
        <v>217</v>
      </c>
      <c r="E163" s="3" t="s">
        <v>131</v>
      </c>
      <c r="F163" s="3">
        <v>5</v>
      </c>
      <c r="G163" s="3">
        <v>20</v>
      </c>
    </row>
    <row r="164" spans="1:7" x14ac:dyDescent="0.3">
      <c r="A164" s="2" t="s">
        <v>629</v>
      </c>
      <c r="B164" s="2" t="s">
        <v>630</v>
      </c>
      <c r="C164" s="2" t="s">
        <v>96</v>
      </c>
      <c r="D164" s="2" t="s">
        <v>242</v>
      </c>
      <c r="E164" s="2" t="s">
        <v>126</v>
      </c>
      <c r="F164" s="2">
        <v>4</v>
      </c>
      <c r="G164" s="2">
        <v>0</v>
      </c>
    </row>
    <row r="165" spans="1:7" x14ac:dyDescent="0.3">
      <c r="A165" s="3" t="s">
        <v>631</v>
      </c>
      <c r="B165" s="3" t="s">
        <v>632</v>
      </c>
      <c r="C165" s="3" t="s">
        <v>24</v>
      </c>
      <c r="D165" s="3" t="s">
        <v>204</v>
      </c>
      <c r="E165" s="3" t="s">
        <v>159</v>
      </c>
      <c r="F165" s="3">
        <v>5</v>
      </c>
      <c r="G165" s="3">
        <v>20</v>
      </c>
    </row>
    <row r="166" spans="1:7" x14ac:dyDescent="0.3">
      <c r="A166" s="2" t="s">
        <v>633</v>
      </c>
      <c r="B166" s="2" t="s">
        <v>459</v>
      </c>
      <c r="C166" s="2" t="s">
        <v>49</v>
      </c>
      <c r="D166" s="2" t="s">
        <v>242</v>
      </c>
      <c r="E166" s="2" t="s">
        <v>159</v>
      </c>
      <c r="F166" s="2">
        <v>8</v>
      </c>
      <c r="G166" s="2">
        <v>5</v>
      </c>
    </row>
    <row r="167" spans="1:7" x14ac:dyDescent="0.3">
      <c r="A167" s="3" t="s">
        <v>634</v>
      </c>
      <c r="B167" s="3" t="s">
        <v>504</v>
      </c>
      <c r="C167" s="3" t="s">
        <v>96</v>
      </c>
      <c r="D167" s="3" t="s">
        <v>204</v>
      </c>
      <c r="E167" s="3" t="s">
        <v>153</v>
      </c>
      <c r="F167" s="3">
        <v>4</v>
      </c>
      <c r="G167" s="3">
        <v>20</v>
      </c>
    </row>
    <row r="168" spans="1:7" x14ac:dyDescent="0.3">
      <c r="A168" s="2" t="s">
        <v>635</v>
      </c>
      <c r="B168" s="2" t="s">
        <v>636</v>
      </c>
      <c r="C168" s="2" t="s">
        <v>19</v>
      </c>
      <c r="D168" s="2" t="s">
        <v>221</v>
      </c>
      <c r="E168" s="2" t="s">
        <v>153</v>
      </c>
      <c r="F168" s="2">
        <v>6</v>
      </c>
      <c r="G168" s="2">
        <v>20</v>
      </c>
    </row>
    <row r="169" spans="1:7" x14ac:dyDescent="0.3">
      <c r="A169" s="3" t="s">
        <v>637</v>
      </c>
      <c r="B169" s="3" t="s">
        <v>638</v>
      </c>
      <c r="C169" s="3" t="s">
        <v>8</v>
      </c>
      <c r="D169" s="3" t="s">
        <v>225</v>
      </c>
      <c r="E169" s="3" t="s">
        <v>142</v>
      </c>
      <c r="F169" s="3">
        <v>10</v>
      </c>
      <c r="G169" s="3">
        <v>15</v>
      </c>
    </row>
    <row r="170" spans="1:7" x14ac:dyDescent="0.3">
      <c r="A170" s="2" t="s">
        <v>639</v>
      </c>
      <c r="B170" s="2" t="s">
        <v>640</v>
      </c>
      <c r="C170" s="2" t="s">
        <v>80</v>
      </c>
      <c r="D170" s="2" t="s">
        <v>258</v>
      </c>
      <c r="E170" s="2" t="s">
        <v>159</v>
      </c>
      <c r="F170" s="2">
        <v>6</v>
      </c>
      <c r="G170" s="2">
        <v>10</v>
      </c>
    </row>
    <row r="171" spans="1:7" x14ac:dyDescent="0.3">
      <c r="A171" s="3" t="s">
        <v>641</v>
      </c>
      <c r="B171" s="3" t="s">
        <v>642</v>
      </c>
      <c r="C171" s="3" t="s">
        <v>96</v>
      </c>
      <c r="D171" s="3" t="s">
        <v>238</v>
      </c>
      <c r="E171" s="3" t="s">
        <v>159</v>
      </c>
      <c r="F171" s="3">
        <v>6</v>
      </c>
      <c r="G171" s="3">
        <v>5</v>
      </c>
    </row>
    <row r="172" spans="1:7" x14ac:dyDescent="0.3">
      <c r="A172" s="2" t="s">
        <v>643</v>
      </c>
      <c r="B172" s="2" t="s">
        <v>350</v>
      </c>
      <c r="C172" s="2" t="s">
        <v>44</v>
      </c>
      <c r="D172" s="2" t="s">
        <v>262</v>
      </c>
      <c r="E172" s="2" t="s">
        <v>153</v>
      </c>
      <c r="F172" s="2">
        <v>4</v>
      </c>
      <c r="G172" s="2">
        <v>10</v>
      </c>
    </row>
    <row r="173" spans="1:7" x14ac:dyDescent="0.3">
      <c r="A173" s="3" t="s">
        <v>644</v>
      </c>
      <c r="B173" s="3" t="s">
        <v>645</v>
      </c>
      <c r="C173" s="3" t="s">
        <v>60</v>
      </c>
      <c r="D173" s="3" t="s">
        <v>250</v>
      </c>
      <c r="E173" s="3" t="s">
        <v>153</v>
      </c>
      <c r="F173" s="3">
        <v>7</v>
      </c>
      <c r="G173" s="3">
        <v>0</v>
      </c>
    </row>
    <row r="174" spans="1:7" x14ac:dyDescent="0.3">
      <c r="A174" s="2" t="s">
        <v>646</v>
      </c>
      <c r="B174" s="2" t="s">
        <v>647</v>
      </c>
      <c r="C174" s="2" t="s">
        <v>14</v>
      </c>
      <c r="D174" s="2" t="s">
        <v>204</v>
      </c>
      <c r="E174" s="2" t="s">
        <v>163</v>
      </c>
      <c r="F174" s="2">
        <v>10</v>
      </c>
      <c r="G174" s="2">
        <v>10</v>
      </c>
    </row>
    <row r="175" spans="1:7" x14ac:dyDescent="0.3">
      <c r="A175" s="3" t="s">
        <v>648</v>
      </c>
      <c r="B175" s="3" t="s">
        <v>649</v>
      </c>
      <c r="C175" s="3" t="s">
        <v>80</v>
      </c>
      <c r="D175" s="3" t="s">
        <v>199</v>
      </c>
      <c r="E175" s="3" t="s">
        <v>163</v>
      </c>
      <c r="F175" s="3">
        <v>8</v>
      </c>
      <c r="G175" s="3">
        <v>0</v>
      </c>
    </row>
    <row r="176" spans="1:7" x14ac:dyDescent="0.3">
      <c r="A176" s="2" t="s">
        <v>650</v>
      </c>
      <c r="B176" s="2" t="s">
        <v>651</v>
      </c>
      <c r="C176" s="2" t="s">
        <v>75</v>
      </c>
      <c r="D176" s="2" t="s">
        <v>204</v>
      </c>
      <c r="E176" s="2" t="s">
        <v>126</v>
      </c>
      <c r="F176" s="2">
        <v>8</v>
      </c>
      <c r="G176" s="2">
        <v>5</v>
      </c>
    </row>
    <row r="177" spans="1:7" x14ac:dyDescent="0.3">
      <c r="A177" s="3" t="s">
        <v>652</v>
      </c>
      <c r="B177" s="3" t="s">
        <v>653</v>
      </c>
      <c r="C177" s="3" t="s">
        <v>106</v>
      </c>
      <c r="D177" s="3" t="s">
        <v>238</v>
      </c>
      <c r="E177" s="3" t="s">
        <v>126</v>
      </c>
      <c r="F177" s="3">
        <v>6</v>
      </c>
      <c r="G177" s="3">
        <v>20</v>
      </c>
    </row>
    <row r="178" spans="1:7" x14ac:dyDescent="0.3">
      <c r="A178" s="2" t="s">
        <v>654</v>
      </c>
      <c r="B178" s="2" t="s">
        <v>655</v>
      </c>
      <c r="C178" s="2" t="s">
        <v>60</v>
      </c>
      <c r="D178" s="2" t="s">
        <v>250</v>
      </c>
      <c r="E178" s="2" t="s">
        <v>163</v>
      </c>
      <c r="F178" s="2">
        <v>1</v>
      </c>
      <c r="G178" s="2">
        <v>0</v>
      </c>
    </row>
    <row r="179" spans="1:7" x14ac:dyDescent="0.3">
      <c r="A179" s="3" t="s">
        <v>656</v>
      </c>
      <c r="B179" s="3" t="s">
        <v>657</v>
      </c>
      <c r="C179" s="3" t="s">
        <v>55</v>
      </c>
      <c r="D179" s="3" t="s">
        <v>217</v>
      </c>
      <c r="E179" s="3" t="s">
        <v>126</v>
      </c>
      <c r="F179" s="3">
        <v>7</v>
      </c>
      <c r="G179" s="3">
        <v>0</v>
      </c>
    </row>
    <row r="180" spans="1:7" x14ac:dyDescent="0.3">
      <c r="A180" s="2" t="s">
        <v>658</v>
      </c>
      <c r="B180" s="2" t="s">
        <v>659</v>
      </c>
      <c r="C180" s="2" t="s">
        <v>24</v>
      </c>
      <c r="D180" s="2" t="s">
        <v>246</v>
      </c>
      <c r="E180" s="2" t="s">
        <v>131</v>
      </c>
      <c r="F180" s="2">
        <v>5</v>
      </c>
      <c r="G180" s="2">
        <v>0</v>
      </c>
    </row>
    <row r="181" spans="1:7" x14ac:dyDescent="0.3">
      <c r="A181" s="3" t="s">
        <v>660</v>
      </c>
      <c r="B181" s="3" t="s">
        <v>661</v>
      </c>
      <c r="C181" s="3" t="s">
        <v>60</v>
      </c>
      <c r="D181" s="3" t="s">
        <v>188</v>
      </c>
      <c r="E181" s="3" t="s">
        <v>142</v>
      </c>
      <c r="F181" s="3">
        <v>6</v>
      </c>
      <c r="G181" s="3">
        <v>10</v>
      </c>
    </row>
    <row r="182" spans="1:7" x14ac:dyDescent="0.3">
      <c r="A182" s="2" t="s">
        <v>662</v>
      </c>
      <c r="B182" s="2" t="s">
        <v>663</v>
      </c>
      <c r="C182" s="2" t="s">
        <v>30</v>
      </c>
      <c r="D182" s="2" t="s">
        <v>217</v>
      </c>
      <c r="E182" s="2" t="s">
        <v>163</v>
      </c>
      <c r="F182" s="2">
        <v>7</v>
      </c>
      <c r="G182" s="2">
        <v>0</v>
      </c>
    </row>
    <row r="183" spans="1:7" x14ac:dyDescent="0.3">
      <c r="A183" s="3" t="s">
        <v>664</v>
      </c>
      <c r="B183" s="3" t="s">
        <v>665</v>
      </c>
      <c r="C183" s="3" t="s">
        <v>33</v>
      </c>
      <c r="D183" s="3" t="s">
        <v>195</v>
      </c>
      <c r="E183" s="3" t="s">
        <v>170</v>
      </c>
      <c r="F183" s="3">
        <v>7</v>
      </c>
      <c r="G183" s="3">
        <v>5</v>
      </c>
    </row>
    <row r="184" spans="1:7" x14ac:dyDescent="0.3">
      <c r="A184" s="2" t="s">
        <v>666</v>
      </c>
      <c r="B184" s="2" t="s">
        <v>667</v>
      </c>
      <c r="C184" s="2" t="s">
        <v>101</v>
      </c>
      <c r="D184" s="2" t="s">
        <v>204</v>
      </c>
      <c r="E184" s="2" t="s">
        <v>138</v>
      </c>
      <c r="F184" s="2">
        <v>8</v>
      </c>
      <c r="G184" s="2">
        <v>5</v>
      </c>
    </row>
    <row r="185" spans="1:7" x14ac:dyDescent="0.3">
      <c r="A185" s="3" t="s">
        <v>668</v>
      </c>
      <c r="B185" s="3" t="s">
        <v>669</v>
      </c>
      <c r="C185" s="3" t="s">
        <v>49</v>
      </c>
      <c r="D185" s="3" t="s">
        <v>181</v>
      </c>
      <c r="E185" s="3" t="s">
        <v>159</v>
      </c>
      <c r="F185" s="3">
        <v>5</v>
      </c>
      <c r="G185" s="3">
        <v>20</v>
      </c>
    </row>
    <row r="186" spans="1:7" x14ac:dyDescent="0.3">
      <c r="A186" s="2" t="s">
        <v>670</v>
      </c>
      <c r="B186" s="2" t="s">
        <v>671</v>
      </c>
      <c r="C186" s="2" t="s">
        <v>19</v>
      </c>
      <c r="D186" s="2" t="s">
        <v>246</v>
      </c>
      <c r="E186" s="2" t="s">
        <v>149</v>
      </c>
      <c r="F186" s="2">
        <v>10</v>
      </c>
      <c r="G186" s="2">
        <v>5</v>
      </c>
    </row>
    <row r="187" spans="1:7" x14ac:dyDescent="0.3">
      <c r="A187" s="3" t="s">
        <v>672</v>
      </c>
      <c r="B187" s="3" t="s">
        <v>340</v>
      </c>
      <c r="C187" s="3" t="s">
        <v>75</v>
      </c>
      <c r="D187" s="3" t="s">
        <v>221</v>
      </c>
      <c r="E187" s="3" t="s">
        <v>159</v>
      </c>
      <c r="F187" s="3">
        <v>5</v>
      </c>
      <c r="G187" s="3">
        <v>5</v>
      </c>
    </row>
    <row r="188" spans="1:7" x14ac:dyDescent="0.3">
      <c r="A188" s="2" t="s">
        <v>673</v>
      </c>
      <c r="B188" s="2" t="s">
        <v>674</v>
      </c>
      <c r="C188" s="2" t="s">
        <v>86</v>
      </c>
      <c r="D188" s="2" t="s">
        <v>199</v>
      </c>
      <c r="E188" s="2" t="s">
        <v>138</v>
      </c>
      <c r="F188" s="2">
        <v>7</v>
      </c>
      <c r="G188" s="2">
        <v>10</v>
      </c>
    </row>
    <row r="189" spans="1:7" x14ac:dyDescent="0.3">
      <c r="A189" s="3" t="s">
        <v>675</v>
      </c>
      <c r="B189" s="3" t="s">
        <v>676</v>
      </c>
      <c r="C189" s="3" t="s">
        <v>55</v>
      </c>
      <c r="D189" s="3" t="s">
        <v>225</v>
      </c>
      <c r="E189" s="3" t="s">
        <v>119</v>
      </c>
      <c r="F189" s="3">
        <v>7</v>
      </c>
      <c r="G189" s="3">
        <v>5</v>
      </c>
    </row>
    <row r="190" spans="1:7" x14ac:dyDescent="0.3">
      <c r="A190" s="2" t="s">
        <v>677</v>
      </c>
      <c r="B190" s="2" t="s">
        <v>441</v>
      </c>
      <c r="C190" s="2" t="s">
        <v>101</v>
      </c>
      <c r="D190" s="2" t="s">
        <v>188</v>
      </c>
      <c r="E190" s="2" t="s">
        <v>170</v>
      </c>
      <c r="F190" s="2">
        <v>8</v>
      </c>
      <c r="G190" s="2">
        <v>5</v>
      </c>
    </row>
    <row r="191" spans="1:7" x14ac:dyDescent="0.3">
      <c r="A191" s="3" t="s">
        <v>678</v>
      </c>
      <c r="B191" s="3" t="s">
        <v>610</v>
      </c>
      <c r="C191" s="3" t="s">
        <v>106</v>
      </c>
      <c r="D191" s="3" t="s">
        <v>234</v>
      </c>
      <c r="E191" s="3" t="s">
        <v>138</v>
      </c>
      <c r="F191" s="3">
        <v>4</v>
      </c>
      <c r="G191" s="3">
        <v>5</v>
      </c>
    </row>
    <row r="192" spans="1:7" x14ac:dyDescent="0.3">
      <c r="A192" s="2" t="s">
        <v>679</v>
      </c>
      <c r="B192" s="2" t="s">
        <v>680</v>
      </c>
      <c r="C192" s="2" t="s">
        <v>30</v>
      </c>
      <c r="D192" s="2" t="s">
        <v>199</v>
      </c>
      <c r="E192" s="2" t="s">
        <v>119</v>
      </c>
      <c r="F192" s="2">
        <v>5</v>
      </c>
      <c r="G192" s="2">
        <v>15</v>
      </c>
    </row>
    <row r="193" spans="1:7" x14ac:dyDescent="0.3">
      <c r="A193" s="3" t="s">
        <v>681</v>
      </c>
      <c r="B193" s="3" t="s">
        <v>682</v>
      </c>
      <c r="C193" s="3" t="s">
        <v>101</v>
      </c>
      <c r="D193" s="3" t="s">
        <v>234</v>
      </c>
      <c r="E193" s="3" t="s">
        <v>131</v>
      </c>
      <c r="F193" s="3">
        <v>2</v>
      </c>
      <c r="G193" s="3">
        <v>5</v>
      </c>
    </row>
    <row r="194" spans="1:7" x14ac:dyDescent="0.3">
      <c r="A194" s="2" t="s">
        <v>683</v>
      </c>
      <c r="B194" s="2" t="s">
        <v>684</v>
      </c>
      <c r="C194" s="2" t="s">
        <v>75</v>
      </c>
      <c r="D194" s="2" t="s">
        <v>208</v>
      </c>
      <c r="E194" s="2" t="s">
        <v>138</v>
      </c>
      <c r="F194" s="2">
        <v>3</v>
      </c>
      <c r="G194" s="2">
        <v>20</v>
      </c>
    </row>
    <row r="195" spans="1:7" x14ac:dyDescent="0.3">
      <c r="A195" s="3" t="s">
        <v>685</v>
      </c>
      <c r="B195" s="3" t="s">
        <v>686</v>
      </c>
      <c r="C195" s="3" t="s">
        <v>91</v>
      </c>
      <c r="D195" s="3" t="s">
        <v>254</v>
      </c>
      <c r="E195" s="3" t="s">
        <v>142</v>
      </c>
      <c r="F195" s="3">
        <v>3</v>
      </c>
      <c r="G195" s="3">
        <v>5</v>
      </c>
    </row>
    <row r="196" spans="1:7" x14ac:dyDescent="0.3">
      <c r="A196" s="2" t="s">
        <v>687</v>
      </c>
      <c r="B196" s="2" t="s">
        <v>688</v>
      </c>
      <c r="C196" s="2" t="s">
        <v>55</v>
      </c>
      <c r="D196" s="2" t="s">
        <v>230</v>
      </c>
      <c r="E196" s="2" t="s">
        <v>126</v>
      </c>
      <c r="F196" s="2">
        <v>8</v>
      </c>
      <c r="G196" s="2">
        <v>0</v>
      </c>
    </row>
    <row r="197" spans="1:7" x14ac:dyDescent="0.3">
      <c r="A197" s="3" t="s">
        <v>689</v>
      </c>
      <c r="B197" s="3" t="s">
        <v>690</v>
      </c>
      <c r="C197" s="3" t="s">
        <v>44</v>
      </c>
      <c r="D197" s="3" t="s">
        <v>238</v>
      </c>
      <c r="E197" s="3" t="s">
        <v>163</v>
      </c>
      <c r="F197" s="3">
        <v>6</v>
      </c>
      <c r="G197" s="3">
        <v>0</v>
      </c>
    </row>
    <row r="198" spans="1:7" x14ac:dyDescent="0.3">
      <c r="A198" s="2" t="s">
        <v>691</v>
      </c>
      <c r="B198" s="2" t="s">
        <v>439</v>
      </c>
      <c r="C198" s="2" t="s">
        <v>8</v>
      </c>
      <c r="D198" s="2" t="s">
        <v>221</v>
      </c>
      <c r="E198" s="2" t="s">
        <v>163</v>
      </c>
      <c r="F198" s="2">
        <v>2</v>
      </c>
      <c r="G198" s="2">
        <v>15</v>
      </c>
    </row>
    <row r="199" spans="1:7" x14ac:dyDescent="0.3">
      <c r="A199" s="3" t="s">
        <v>692</v>
      </c>
      <c r="B199" s="3" t="s">
        <v>545</v>
      </c>
      <c r="C199" s="3" t="s">
        <v>49</v>
      </c>
      <c r="D199" s="3" t="s">
        <v>262</v>
      </c>
      <c r="E199" s="3" t="s">
        <v>153</v>
      </c>
      <c r="F199" s="3">
        <v>6</v>
      </c>
      <c r="G199" s="3">
        <v>0</v>
      </c>
    </row>
    <row r="200" spans="1:7" x14ac:dyDescent="0.3">
      <c r="A200" s="2" t="s">
        <v>693</v>
      </c>
      <c r="B200" s="2" t="s">
        <v>694</v>
      </c>
      <c r="C200" s="2" t="s">
        <v>44</v>
      </c>
      <c r="D200" s="2" t="s">
        <v>250</v>
      </c>
      <c r="E200" s="2" t="s">
        <v>119</v>
      </c>
      <c r="F200" s="2">
        <v>10</v>
      </c>
      <c r="G200" s="2">
        <v>20</v>
      </c>
    </row>
    <row r="201" spans="1:7" x14ac:dyDescent="0.3">
      <c r="A201" s="3" t="s">
        <v>695</v>
      </c>
      <c r="B201" s="3" t="s">
        <v>684</v>
      </c>
      <c r="C201" s="3" t="s">
        <v>106</v>
      </c>
      <c r="D201" s="3" t="s">
        <v>217</v>
      </c>
      <c r="E201" s="3" t="s">
        <v>126</v>
      </c>
      <c r="F201" s="3">
        <v>8</v>
      </c>
      <c r="G201" s="3">
        <v>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A7853-20F0-4337-9311-9FCB5EBF014E}">
  <sheetPr codeName="Sheet6"/>
  <dimension ref="A1:R201"/>
  <sheetViews>
    <sheetView showGridLines="0" topLeftCell="L1" zoomScaleNormal="100" workbookViewId="0">
      <pane ySplit="1" topLeftCell="A2" activePane="bottomLeft" state="frozen"/>
      <selection pane="bottomLeft" activeCell="R1" sqref="R1:R1048576"/>
    </sheetView>
  </sheetViews>
  <sheetFormatPr defaultRowHeight="14.4" x14ac:dyDescent="0.3"/>
  <cols>
    <col min="1" max="1" width="10" customWidth="1"/>
    <col min="2" max="2" width="13" style="21" customWidth="1"/>
    <col min="3" max="3" width="12" customWidth="1"/>
    <col min="4" max="4" width="13" customWidth="1"/>
    <col min="5" max="6" width="10" customWidth="1"/>
    <col min="7" max="7" width="13" customWidth="1"/>
    <col min="8" max="8" width="21.6640625" bestFit="1" customWidth="1"/>
    <col min="9" max="9" width="11.109375" bestFit="1" customWidth="1"/>
    <col min="10" max="10" width="10.44140625" style="11" bestFit="1" customWidth="1"/>
    <col min="11" max="11" width="14.5546875" bestFit="1" customWidth="1"/>
    <col min="12" max="12" width="9.21875" bestFit="1" customWidth="1"/>
    <col min="13" max="13" width="13.33203125" style="11" bestFit="1" customWidth="1"/>
    <col min="14" max="14" width="12.33203125" style="11" bestFit="1" customWidth="1"/>
    <col min="15" max="15" width="14" style="11" bestFit="1" customWidth="1"/>
    <col min="16" max="16" width="13.6640625" bestFit="1" customWidth="1"/>
    <col min="17" max="17" width="14.21875" bestFit="1" customWidth="1"/>
    <col min="18" max="18" width="18" bestFit="1" customWidth="1"/>
  </cols>
  <sheetData>
    <row r="1" spans="1:18" x14ac:dyDescent="0.3">
      <c r="A1" s="8" t="s">
        <v>335</v>
      </c>
      <c r="B1" s="18" t="s">
        <v>336</v>
      </c>
      <c r="C1" s="8" t="s">
        <v>0</v>
      </c>
      <c r="D1" s="8" t="s">
        <v>174</v>
      </c>
      <c r="E1" s="8" t="s">
        <v>110</v>
      </c>
      <c r="F1" s="8" t="s">
        <v>337</v>
      </c>
      <c r="G1" s="8" t="s">
        <v>338</v>
      </c>
      <c r="H1" s="9" t="s">
        <v>1</v>
      </c>
      <c r="I1" s="9" t="s">
        <v>2</v>
      </c>
      <c r="J1" s="10" t="s">
        <v>5</v>
      </c>
      <c r="K1" s="9" t="s">
        <v>175</v>
      </c>
      <c r="L1" s="9" t="s">
        <v>112</v>
      </c>
      <c r="M1" s="10" t="s">
        <v>696</v>
      </c>
      <c r="N1" s="10" t="s">
        <v>697</v>
      </c>
      <c r="O1" s="10" t="s">
        <v>698</v>
      </c>
      <c r="P1" s="12" t="s">
        <v>712</v>
      </c>
      <c r="Q1" s="12" t="s">
        <v>713</v>
      </c>
      <c r="R1" s="12" t="s">
        <v>714</v>
      </c>
    </row>
    <row r="2" spans="1:18" x14ac:dyDescent="0.3">
      <c r="A2" s="2" t="s">
        <v>339</v>
      </c>
      <c r="B2" s="19">
        <v>45254</v>
      </c>
      <c r="C2" s="2" t="s">
        <v>24</v>
      </c>
      <c r="D2" s="2" t="s">
        <v>181</v>
      </c>
      <c r="E2" s="2" t="s">
        <v>142</v>
      </c>
      <c r="F2" s="2">
        <v>4</v>
      </c>
      <c r="G2" s="2">
        <v>5</v>
      </c>
      <c r="H2" t="str">
        <f>INDEX(Products!$B:$B,MATCH(Sales_Enriched!C2,Products!$A:$A,0))</f>
        <v>Amul Butter 500g</v>
      </c>
      <c r="I2" t="str">
        <f>INDEX(Products!$C:$C, MATCH(Sales_Enriched!C2,Products!$A:$A,0))</f>
        <v>Dairy</v>
      </c>
      <c r="J2" s="11">
        <f>INDEX(Products!$F:$F, MATCH(Sales_Enriched!C2,Products!$A:$A,0))</f>
        <v>275</v>
      </c>
      <c r="K2" t="str">
        <f>INDEX(Customers!$B:$B, MATCH(Sales_Enriched!D2,Customers!$A:$A,0))</f>
        <v>Aarav Sharma</v>
      </c>
      <c r="L2" t="str">
        <f>INDEX(Customers!$C:$C, MATCH(Sales_Enriched!D2,Customers!$A:$A,0))</f>
        <v>Delhi</v>
      </c>
      <c r="M2" s="11">
        <f>J2*F2</f>
        <v>1100</v>
      </c>
      <c r="N2" s="11">
        <f>M2*(G2/100)</f>
        <v>55</v>
      </c>
      <c r="O2" s="11">
        <f>M2-N2</f>
        <v>1045</v>
      </c>
      <c r="P2">
        <f>HLOOKUP(TEXT(B2,"MMM"),'Monthly_Targets '!$A$1:$M$11, MATCH(Sales_Enriched!E2,'Monthly_Targets '!$A$1:$A$11,0),FALSE)</f>
        <v>912000</v>
      </c>
      <c r="Q2" t="str">
        <f>IF(G2=0, "No Discount",IF(G2&lt;= 10, "Low Discount", "High Discount"))</f>
        <v>Low Discount</v>
      </c>
      <c r="R2" t="str">
        <f>IF(O2&gt;=P2*0.9, "Excellent", IF(O2&gt;=P2*0.7, "Good", IF(O2&gt;=P2*0.5, "Average", "Poor")))</f>
        <v>Poor</v>
      </c>
    </row>
    <row r="3" spans="1:18" x14ac:dyDescent="0.3">
      <c r="A3" s="3" t="s">
        <v>341</v>
      </c>
      <c r="B3" s="20">
        <v>44998</v>
      </c>
      <c r="C3" s="3" t="s">
        <v>24</v>
      </c>
      <c r="D3" s="3" t="s">
        <v>258</v>
      </c>
      <c r="E3" s="3" t="s">
        <v>126</v>
      </c>
      <c r="F3" s="3">
        <v>10</v>
      </c>
      <c r="G3" s="3">
        <v>10</v>
      </c>
      <c r="H3" t="str">
        <f>INDEX(Products!$B:$B,MATCH(Sales_Enriched!C3,Products!$A:$A,0))</f>
        <v>Amul Butter 500g</v>
      </c>
      <c r="I3" t="str">
        <f>INDEX(Products!$C:$C, MATCH(Sales_Enriched!C3,Products!$A:$A,0))</f>
        <v>Dairy</v>
      </c>
      <c r="J3" s="11">
        <f>INDEX(Products!$F:$F, MATCH(Sales_Enriched!C3,Products!$A:$A,0))</f>
        <v>275</v>
      </c>
      <c r="K3" t="str">
        <f>INDEX(Customers!$B:$B, MATCH(Sales_Enriched!D3,Customers!$A:$A,0))</f>
        <v>Sudha Sharma</v>
      </c>
      <c r="L3" t="str">
        <f>INDEX(Customers!$C:$C, MATCH(Sales_Enriched!D3,Customers!$A:$A,0))</f>
        <v>Bangalore</v>
      </c>
      <c r="M3" s="11">
        <f t="shared" ref="M3:M66" si="0">J3*F3</f>
        <v>2750</v>
      </c>
      <c r="N3" s="11">
        <f t="shared" ref="N3:N66" si="1">M3*(G3/100)</f>
        <v>275</v>
      </c>
      <c r="O3" s="11">
        <f t="shared" ref="O3:O66" si="2">M3-N3</f>
        <v>2475</v>
      </c>
      <c r="P3">
        <f>HLOOKUP(TEXT(B3,"MMM"),'Monthly_Targets '!$A$1:$M$11, MATCH(Sales_Enriched!E3,'Monthly_Targets '!$A$1:$A$11,0),FALSE)</f>
        <v>494000</v>
      </c>
      <c r="Q3" t="str">
        <f t="shared" ref="Q3:Q66" si="3">IF(G3=0, "No Discount",IF(G3&lt;= 10, "Low Discount", "High Discount"))</f>
        <v>Low Discount</v>
      </c>
      <c r="R3" t="str">
        <f t="shared" ref="R3:R66" si="4">IF(O3&gt;=P3*0.9, "Excellent", IF(O3&gt;=P3*0.7, "Good", IF(O3&gt;=P3*0.5, "Average", "Poor")))</f>
        <v>Poor</v>
      </c>
    </row>
    <row r="4" spans="1:18" x14ac:dyDescent="0.3">
      <c r="A4" s="2" t="s">
        <v>343</v>
      </c>
      <c r="B4" s="19">
        <v>44943</v>
      </c>
      <c r="C4" s="2" t="s">
        <v>8</v>
      </c>
      <c r="D4" s="2" t="s">
        <v>195</v>
      </c>
      <c r="E4" s="2" t="s">
        <v>138</v>
      </c>
      <c r="F4" s="2">
        <v>4</v>
      </c>
      <c r="G4" s="2">
        <v>20</v>
      </c>
      <c r="H4" t="str">
        <f>INDEX(Products!$B:$B,MATCH(Sales_Enriched!C4,Products!$A:$A,0))</f>
        <v>Basmati Rice 5kg</v>
      </c>
      <c r="I4" t="str">
        <f>INDEX(Products!$C:$C, MATCH(Sales_Enriched!C4,Products!$A:$A,0))</f>
        <v>Grocery</v>
      </c>
      <c r="J4" s="11">
        <f>INDEX(Products!$F:$F, MATCH(Sales_Enriched!C4,Products!$A:$A,0))</f>
        <v>320</v>
      </c>
      <c r="K4" t="str">
        <f>INDEX(Customers!$B:$B, MATCH(Sales_Enriched!D4,Customers!$A:$A,0))</f>
        <v>Vikram Nair</v>
      </c>
      <c r="L4" t="str">
        <f>INDEX(Customers!$C:$C, MATCH(Sales_Enriched!D4,Customers!$A:$A,0))</f>
        <v>Bangalore</v>
      </c>
      <c r="M4" s="11">
        <f t="shared" si="0"/>
        <v>1280</v>
      </c>
      <c r="N4" s="11">
        <f t="shared" si="1"/>
        <v>256</v>
      </c>
      <c r="O4" s="11">
        <f t="shared" si="2"/>
        <v>1024</v>
      </c>
      <c r="P4">
        <f>HLOOKUP(TEXT(B4,"MMM"),'Monthly_Targets '!$A$1:$M$11, MATCH(Sales_Enriched!E4,'Monthly_Targets '!$A$1:$A$11,0),FALSE)</f>
        <v>408000</v>
      </c>
      <c r="Q4" t="str">
        <f t="shared" si="3"/>
        <v>High Discount</v>
      </c>
      <c r="R4" t="str">
        <f t="shared" si="4"/>
        <v>Poor</v>
      </c>
    </row>
    <row r="5" spans="1:18" x14ac:dyDescent="0.3">
      <c r="A5" s="3" t="s">
        <v>345</v>
      </c>
      <c r="B5" s="20">
        <v>45235</v>
      </c>
      <c r="C5" s="3" t="s">
        <v>8</v>
      </c>
      <c r="D5" s="3" t="s">
        <v>258</v>
      </c>
      <c r="E5" s="3" t="s">
        <v>138</v>
      </c>
      <c r="F5" s="3">
        <v>9</v>
      </c>
      <c r="G5" s="3">
        <v>10</v>
      </c>
      <c r="H5" t="str">
        <f>INDEX(Products!$B:$B,MATCH(Sales_Enriched!C5,Products!$A:$A,0))</f>
        <v>Basmati Rice 5kg</v>
      </c>
      <c r="I5" t="str">
        <f>INDEX(Products!$C:$C, MATCH(Sales_Enriched!C5,Products!$A:$A,0))</f>
        <v>Grocery</v>
      </c>
      <c r="J5" s="11">
        <f>INDEX(Products!$F:$F, MATCH(Sales_Enriched!C5,Products!$A:$A,0))</f>
        <v>320</v>
      </c>
      <c r="K5" t="str">
        <f>INDEX(Customers!$B:$B, MATCH(Sales_Enriched!D5,Customers!$A:$A,0))</f>
        <v>Sudha Sharma</v>
      </c>
      <c r="L5" t="str">
        <f>INDEX(Customers!$C:$C, MATCH(Sales_Enriched!D5,Customers!$A:$A,0))</f>
        <v>Bangalore</v>
      </c>
      <c r="M5" s="11">
        <f t="shared" si="0"/>
        <v>2880</v>
      </c>
      <c r="N5" s="11">
        <f t="shared" si="1"/>
        <v>288</v>
      </c>
      <c r="O5" s="11">
        <f t="shared" si="2"/>
        <v>2592</v>
      </c>
      <c r="P5">
        <f>HLOOKUP(TEXT(B5,"MMM"),'Monthly_Targets '!$A$1:$M$11, MATCH(Sales_Enriched!E5,'Monthly_Targets '!$A$1:$A$11,0),FALSE)</f>
        <v>576000</v>
      </c>
      <c r="Q5" t="str">
        <f t="shared" si="3"/>
        <v>Low Discount</v>
      </c>
      <c r="R5" t="str">
        <f t="shared" si="4"/>
        <v>Poor</v>
      </c>
    </row>
    <row r="6" spans="1:18" x14ac:dyDescent="0.3">
      <c r="A6" s="2" t="s">
        <v>347</v>
      </c>
      <c r="B6" s="19">
        <v>45039</v>
      </c>
      <c r="C6" s="2" t="s">
        <v>80</v>
      </c>
      <c r="D6" s="2" t="s">
        <v>262</v>
      </c>
      <c r="E6" s="2" t="s">
        <v>142</v>
      </c>
      <c r="F6" s="2">
        <v>1</v>
      </c>
      <c r="G6" s="2">
        <v>0</v>
      </c>
      <c r="H6" t="str">
        <f>INDEX(Products!$B:$B,MATCH(Sales_Enriched!C6,Products!$A:$A,0))</f>
        <v>Prestige Cooker 5L</v>
      </c>
      <c r="I6" t="str">
        <f>INDEX(Products!$C:$C, MATCH(Sales_Enriched!C6,Products!$A:$A,0))</f>
        <v>Kitchenware</v>
      </c>
      <c r="J6" s="11">
        <f>INDEX(Products!$F:$F, MATCH(Sales_Enriched!C6,Products!$A:$A,0))</f>
        <v>1850</v>
      </c>
      <c r="K6" t="str">
        <f>INDEX(Customers!$B:$B, MATCH(Sales_Enriched!D6,Customers!$A:$A,0))</f>
        <v>Kiran Reddy</v>
      </c>
      <c r="L6" t="str">
        <f>INDEX(Customers!$C:$C, MATCH(Sales_Enriched!D6,Customers!$A:$A,0))</f>
        <v>Mumbai</v>
      </c>
      <c r="M6" s="11">
        <f t="shared" si="0"/>
        <v>1850</v>
      </c>
      <c r="N6" s="11">
        <f t="shared" si="1"/>
        <v>0</v>
      </c>
      <c r="O6" s="11">
        <f t="shared" si="2"/>
        <v>1850</v>
      </c>
      <c r="P6">
        <f>HLOOKUP(TEXT(B6,"MMM"),'Monthly_Targets '!$A$1:$M$11, MATCH(Sales_Enriched!E6,'Monthly_Targets '!$A$1:$A$11,0),FALSE)</f>
        <v>684000</v>
      </c>
      <c r="Q6" t="str">
        <f t="shared" si="3"/>
        <v>No Discount</v>
      </c>
      <c r="R6" t="str">
        <f t="shared" si="4"/>
        <v>Poor</v>
      </c>
    </row>
    <row r="7" spans="1:18" x14ac:dyDescent="0.3">
      <c r="A7" s="3" t="s">
        <v>349</v>
      </c>
      <c r="B7" s="20">
        <v>45284</v>
      </c>
      <c r="C7" s="3" t="s">
        <v>75</v>
      </c>
      <c r="D7" s="3" t="s">
        <v>230</v>
      </c>
      <c r="E7" s="3" t="s">
        <v>142</v>
      </c>
      <c r="F7" s="3">
        <v>3</v>
      </c>
      <c r="G7" s="3">
        <v>5</v>
      </c>
      <c r="H7" t="str">
        <f>INDEX(Products!$B:$B,MATCH(Sales_Enriched!C7,Products!$A:$A,0))</f>
        <v>Nike T-Shirt</v>
      </c>
      <c r="I7" t="str">
        <f>INDEX(Products!$C:$C, MATCH(Sales_Enriched!C7,Products!$A:$A,0))</f>
        <v>Apparel</v>
      </c>
      <c r="J7" s="11">
        <f>INDEX(Products!$F:$F, MATCH(Sales_Enriched!C7,Products!$A:$A,0))</f>
        <v>1299</v>
      </c>
      <c r="K7" t="str">
        <f>INDEX(Customers!$B:$B, MATCH(Sales_Enriched!D7,Customers!$A:$A,0))</f>
        <v>Manish Joshi</v>
      </c>
      <c r="L7" t="str">
        <f>INDEX(Customers!$C:$C, MATCH(Sales_Enriched!D7,Customers!$A:$A,0))</f>
        <v>Delhi</v>
      </c>
      <c r="M7" s="11">
        <f t="shared" si="0"/>
        <v>3897</v>
      </c>
      <c r="N7" s="11">
        <f t="shared" si="1"/>
        <v>194.85000000000002</v>
      </c>
      <c r="O7" s="11">
        <f t="shared" si="2"/>
        <v>3702.15</v>
      </c>
      <c r="P7">
        <f>HLOOKUP(TEXT(B7,"MMM"),'Monthly_Targets '!$A$1:$M$11, MATCH(Sales_Enriched!E7,'Monthly_Targets '!$A$1:$A$11,0),FALSE)</f>
        <v>988000</v>
      </c>
      <c r="Q7" t="str">
        <f t="shared" si="3"/>
        <v>Low Discount</v>
      </c>
      <c r="R7" t="str">
        <f t="shared" si="4"/>
        <v>Poor</v>
      </c>
    </row>
    <row r="8" spans="1:18" x14ac:dyDescent="0.3">
      <c r="A8" s="2" t="s">
        <v>351</v>
      </c>
      <c r="B8" s="19">
        <v>45099</v>
      </c>
      <c r="C8" s="2" t="s">
        <v>24</v>
      </c>
      <c r="D8" s="2" t="s">
        <v>195</v>
      </c>
      <c r="E8" s="2" t="s">
        <v>153</v>
      </c>
      <c r="F8" s="2">
        <v>2</v>
      </c>
      <c r="G8" s="2">
        <v>10</v>
      </c>
      <c r="H8" t="str">
        <f>INDEX(Products!$B:$B,MATCH(Sales_Enriched!C8,Products!$A:$A,0))</f>
        <v>Amul Butter 500g</v>
      </c>
      <c r="I8" t="str">
        <f>INDEX(Products!$C:$C, MATCH(Sales_Enriched!C8,Products!$A:$A,0))</f>
        <v>Dairy</v>
      </c>
      <c r="J8" s="11">
        <f>INDEX(Products!$F:$F, MATCH(Sales_Enriched!C8,Products!$A:$A,0))</f>
        <v>275</v>
      </c>
      <c r="K8" t="str">
        <f>INDEX(Customers!$B:$B, MATCH(Sales_Enriched!D8,Customers!$A:$A,0))</f>
        <v>Vikram Nair</v>
      </c>
      <c r="L8" t="str">
        <f>INDEX(Customers!$C:$C, MATCH(Sales_Enriched!D8,Customers!$A:$A,0))</f>
        <v>Bangalore</v>
      </c>
      <c r="M8" s="11">
        <f t="shared" si="0"/>
        <v>550</v>
      </c>
      <c r="N8" s="11">
        <f t="shared" si="1"/>
        <v>55</v>
      </c>
      <c r="O8" s="11">
        <f t="shared" si="2"/>
        <v>495</v>
      </c>
      <c r="P8">
        <f>HLOOKUP(TEXT(B8,"MMM"),'Monthly_Targets '!$A$1:$M$11, MATCH(Sales_Enriched!E8,'Monthly_Targets '!$A$1:$A$11,0),FALSE)</f>
        <v>598400</v>
      </c>
      <c r="Q8" t="str">
        <f t="shared" si="3"/>
        <v>Low Discount</v>
      </c>
      <c r="R8" t="str">
        <f t="shared" si="4"/>
        <v>Poor</v>
      </c>
    </row>
    <row r="9" spans="1:18" x14ac:dyDescent="0.3">
      <c r="A9" s="3" t="s">
        <v>353</v>
      </c>
      <c r="B9" s="20">
        <v>45103</v>
      </c>
      <c r="C9" s="3" t="s">
        <v>106</v>
      </c>
      <c r="D9" s="3" t="s">
        <v>221</v>
      </c>
      <c r="E9" s="3" t="s">
        <v>119</v>
      </c>
      <c r="F9" s="3">
        <v>8</v>
      </c>
      <c r="G9" s="3">
        <v>20</v>
      </c>
      <c r="H9" t="str">
        <f>INDEX(Products!$B:$B,MATCH(Sales_Enriched!C9,Products!$A:$A,0))</f>
        <v>Woodland Shoes</v>
      </c>
      <c r="I9" t="str">
        <f>INDEX(Products!$C:$C, MATCH(Sales_Enriched!C9,Products!$A:$A,0))</f>
        <v>Apparel</v>
      </c>
      <c r="J9" s="11">
        <f>INDEX(Products!$F:$F, MATCH(Sales_Enriched!C9,Products!$A:$A,0))</f>
        <v>3499</v>
      </c>
      <c r="K9" t="str">
        <f>INDEX(Customers!$B:$B, MATCH(Sales_Enriched!D9,Customers!$A:$A,0))</f>
        <v>Suresh Ghosh</v>
      </c>
      <c r="L9" t="str">
        <f>INDEX(Customers!$C:$C, MATCH(Sales_Enriched!D9,Customers!$A:$A,0))</f>
        <v>Kolkata</v>
      </c>
      <c r="M9" s="11">
        <f t="shared" si="0"/>
        <v>27992</v>
      </c>
      <c r="N9" s="11">
        <f t="shared" si="1"/>
        <v>5598.4000000000005</v>
      </c>
      <c r="O9" s="11">
        <f t="shared" si="2"/>
        <v>22393.599999999999</v>
      </c>
      <c r="P9">
        <f>HLOOKUP(TEXT(B9,"MMM"),'Monthly_Targets '!$A$1:$M$11, MATCH(Sales_Enriched!E9,'Monthly_Targets '!$A$1:$A$11,0),FALSE)</f>
        <v>748000</v>
      </c>
      <c r="Q9" t="str">
        <f t="shared" si="3"/>
        <v>High Discount</v>
      </c>
      <c r="R9" t="str">
        <f t="shared" si="4"/>
        <v>Poor</v>
      </c>
    </row>
    <row r="10" spans="1:18" x14ac:dyDescent="0.3">
      <c r="A10" s="2" t="s">
        <v>355</v>
      </c>
      <c r="B10" s="19">
        <v>44990</v>
      </c>
      <c r="C10" s="2" t="s">
        <v>69</v>
      </c>
      <c r="D10" s="2" t="s">
        <v>195</v>
      </c>
      <c r="E10" s="2" t="s">
        <v>163</v>
      </c>
      <c r="F10" s="2">
        <v>5</v>
      </c>
      <c r="G10" s="2">
        <v>10</v>
      </c>
      <c r="H10" t="str">
        <f>INDEX(Products!$B:$B,MATCH(Sales_Enriched!C10,Products!$A:$A,0))</f>
        <v>Levis Jeans</v>
      </c>
      <c r="I10" t="str">
        <f>INDEX(Products!$C:$C, MATCH(Sales_Enriched!C10,Products!$A:$A,0))</f>
        <v>Apparel</v>
      </c>
      <c r="J10" s="11">
        <f>INDEX(Products!$F:$F, MATCH(Sales_Enriched!C10,Products!$A:$A,0))</f>
        <v>2499</v>
      </c>
      <c r="K10" t="str">
        <f>INDEX(Customers!$B:$B, MATCH(Sales_Enriched!D10,Customers!$A:$A,0))</f>
        <v>Vikram Nair</v>
      </c>
      <c r="L10" t="str">
        <f>INDEX(Customers!$C:$C, MATCH(Sales_Enriched!D10,Customers!$A:$A,0))</f>
        <v>Bangalore</v>
      </c>
      <c r="M10" s="11">
        <f t="shared" si="0"/>
        <v>12495</v>
      </c>
      <c r="N10" s="11">
        <f t="shared" si="1"/>
        <v>1249.5</v>
      </c>
      <c r="O10" s="11">
        <f t="shared" si="2"/>
        <v>11245.5</v>
      </c>
      <c r="P10">
        <f>HLOOKUP(TEXT(B10,"MMM"),'Monthly_Targets '!$A$1:$M$11, MATCH(Sales_Enriched!E10,'Monthly_Targets '!$A$1:$A$11,0),FALSE)</f>
        <v>674500</v>
      </c>
      <c r="Q10" t="str">
        <f t="shared" si="3"/>
        <v>Low Discount</v>
      </c>
      <c r="R10" t="str">
        <f t="shared" si="4"/>
        <v>Poor</v>
      </c>
    </row>
    <row r="11" spans="1:18" x14ac:dyDescent="0.3">
      <c r="A11" s="3" t="s">
        <v>357</v>
      </c>
      <c r="B11" s="20">
        <v>45222</v>
      </c>
      <c r="C11" s="3" t="s">
        <v>39</v>
      </c>
      <c r="D11" s="3" t="s">
        <v>195</v>
      </c>
      <c r="E11" s="3" t="s">
        <v>119</v>
      </c>
      <c r="F11" s="3">
        <v>4</v>
      </c>
      <c r="G11" s="3">
        <v>5</v>
      </c>
      <c r="H11" t="str">
        <f>INDEX(Products!$B:$B,MATCH(Sales_Enriched!C11,Products!$A:$A,0))</f>
        <v>boAt Rockerz 450</v>
      </c>
      <c r="I11" t="str">
        <f>INDEX(Products!$C:$C, MATCH(Sales_Enriched!C11,Products!$A:$A,0))</f>
        <v>Electronics</v>
      </c>
      <c r="J11" s="11">
        <f>INDEX(Products!$F:$F, MATCH(Sales_Enriched!C11,Products!$A:$A,0))</f>
        <v>1499</v>
      </c>
      <c r="K11" t="str">
        <f>INDEX(Customers!$B:$B, MATCH(Sales_Enriched!D11,Customers!$A:$A,0))</f>
        <v>Vikram Nair</v>
      </c>
      <c r="L11" t="str">
        <f>INDEX(Customers!$C:$C, MATCH(Sales_Enriched!D11,Customers!$A:$A,0))</f>
        <v>Bangalore</v>
      </c>
      <c r="M11" s="11">
        <f t="shared" si="0"/>
        <v>5996</v>
      </c>
      <c r="N11" s="11">
        <f t="shared" si="1"/>
        <v>299.8</v>
      </c>
      <c r="O11" s="11">
        <f t="shared" si="2"/>
        <v>5696.2</v>
      </c>
      <c r="P11">
        <f>HLOOKUP(TEXT(B11,"MMM"),'Monthly_Targets '!$A$1:$M$11, MATCH(Sales_Enriched!E11,'Monthly_Targets '!$A$1:$A$11,0),FALSE)</f>
        <v>935000</v>
      </c>
      <c r="Q11" t="str">
        <f t="shared" si="3"/>
        <v>Low Discount</v>
      </c>
      <c r="R11" t="str">
        <f t="shared" si="4"/>
        <v>Poor</v>
      </c>
    </row>
    <row r="12" spans="1:18" x14ac:dyDescent="0.3">
      <c r="A12" s="2" t="s">
        <v>359</v>
      </c>
      <c r="B12" s="19">
        <v>44967</v>
      </c>
      <c r="C12" s="2" t="s">
        <v>44</v>
      </c>
      <c r="D12" s="2" t="s">
        <v>199</v>
      </c>
      <c r="E12" s="2" t="s">
        <v>153</v>
      </c>
      <c r="F12" s="2">
        <v>5</v>
      </c>
      <c r="G12" s="2">
        <v>15</v>
      </c>
      <c r="H12" t="str">
        <f>INDEX(Products!$B:$B,MATCH(Sales_Enriched!C12,Products!$A:$A,0))</f>
        <v>Philips LED Bulb 9W</v>
      </c>
      <c r="I12" t="str">
        <f>INDEX(Products!$C:$C, MATCH(Sales_Enriched!C12,Products!$A:$A,0))</f>
        <v>Electronics</v>
      </c>
      <c r="J12" s="11">
        <f>INDEX(Products!$F:$F, MATCH(Sales_Enriched!C12,Products!$A:$A,0))</f>
        <v>129</v>
      </c>
      <c r="K12" t="str">
        <f>INDEX(Customers!$B:$B, MATCH(Sales_Enriched!D12,Customers!$A:$A,0))</f>
        <v>Sunita Rao</v>
      </c>
      <c r="L12" t="str">
        <f>INDEX(Customers!$C:$C, MATCH(Sales_Enriched!D12,Customers!$A:$A,0))</f>
        <v>Chennai</v>
      </c>
      <c r="M12" s="11">
        <f t="shared" si="0"/>
        <v>645</v>
      </c>
      <c r="N12" s="11">
        <f t="shared" si="1"/>
        <v>96.75</v>
      </c>
      <c r="O12" s="11">
        <f t="shared" si="2"/>
        <v>548.25</v>
      </c>
      <c r="P12">
        <f>HLOOKUP(TEXT(B12,"MMM"),'Monthly_Targets '!$A$1:$M$11, MATCH(Sales_Enriched!E12,'Monthly_Targets '!$A$1:$A$11,0),FALSE)</f>
        <v>598400</v>
      </c>
      <c r="Q12" t="str">
        <f t="shared" si="3"/>
        <v>High Discount</v>
      </c>
      <c r="R12" t="str">
        <f t="shared" si="4"/>
        <v>Poor</v>
      </c>
    </row>
    <row r="13" spans="1:18" x14ac:dyDescent="0.3">
      <c r="A13" s="3" t="s">
        <v>361</v>
      </c>
      <c r="B13" s="20">
        <v>45252</v>
      </c>
      <c r="C13" s="3" t="s">
        <v>65</v>
      </c>
      <c r="D13" s="3" t="s">
        <v>208</v>
      </c>
      <c r="E13" s="3" t="s">
        <v>149</v>
      </c>
      <c r="F13" s="3">
        <v>6</v>
      </c>
      <c r="G13" s="3">
        <v>5</v>
      </c>
      <c r="H13" t="str">
        <f>INDEX(Products!$B:$B,MATCH(Sales_Enriched!C13,Products!$A:$A,0))</f>
        <v>Dove Shampoo 340ml</v>
      </c>
      <c r="I13" t="str">
        <f>INDEX(Products!$C:$C, MATCH(Sales_Enriched!C13,Products!$A:$A,0))</f>
        <v>Beauty</v>
      </c>
      <c r="J13" s="11">
        <f>INDEX(Products!$F:$F, MATCH(Sales_Enriched!C13,Products!$A:$A,0))</f>
        <v>299</v>
      </c>
      <c r="K13" t="str">
        <f>INDEX(Customers!$B:$B, MATCH(Sales_Enriched!D13,Customers!$A:$A,0))</f>
        <v>Deepa Menon</v>
      </c>
      <c r="L13" t="str">
        <f>INDEX(Customers!$C:$C, MATCH(Sales_Enriched!D13,Customers!$A:$A,0))</f>
        <v>Mumbai</v>
      </c>
      <c r="M13" s="11">
        <f t="shared" si="0"/>
        <v>1794</v>
      </c>
      <c r="N13" s="11">
        <f t="shared" si="1"/>
        <v>89.7</v>
      </c>
      <c r="O13" s="11">
        <f t="shared" si="2"/>
        <v>1704.3</v>
      </c>
      <c r="P13">
        <f>HLOOKUP(TEXT(B13,"MMM"),'Monthly_Targets '!$A$1:$M$11, MATCH(Sales_Enriched!E13,'Monthly_Targets '!$A$1:$A$11,0),FALSE)</f>
        <v>504000</v>
      </c>
      <c r="Q13" t="str">
        <f t="shared" si="3"/>
        <v>Low Discount</v>
      </c>
      <c r="R13" t="str">
        <f t="shared" si="4"/>
        <v>Poor</v>
      </c>
    </row>
    <row r="14" spans="1:18" x14ac:dyDescent="0.3">
      <c r="A14" s="2" t="s">
        <v>363</v>
      </c>
      <c r="B14" s="19">
        <v>45270</v>
      </c>
      <c r="C14" s="2" t="s">
        <v>49</v>
      </c>
      <c r="D14" s="2" t="s">
        <v>195</v>
      </c>
      <c r="E14" s="2" t="s">
        <v>170</v>
      </c>
      <c r="F14" s="2">
        <v>3</v>
      </c>
      <c r="G14" s="2">
        <v>20</v>
      </c>
      <c r="H14" t="str">
        <f>INDEX(Products!$B:$B,MATCH(Sales_Enriched!C14,Products!$A:$A,0))</f>
        <v>Surf Excel 1kg</v>
      </c>
      <c r="I14" t="str">
        <f>INDEX(Products!$C:$C, MATCH(Sales_Enriched!C14,Products!$A:$A,0))</f>
        <v>Home Care</v>
      </c>
      <c r="J14" s="11">
        <f>INDEX(Products!$F:$F, MATCH(Sales_Enriched!C14,Products!$A:$A,0))</f>
        <v>210</v>
      </c>
      <c r="K14" t="str">
        <f>INDEX(Customers!$B:$B, MATCH(Sales_Enriched!D14,Customers!$A:$A,0))</f>
        <v>Vikram Nair</v>
      </c>
      <c r="L14" t="str">
        <f>INDEX(Customers!$C:$C, MATCH(Sales_Enriched!D14,Customers!$A:$A,0))</f>
        <v>Bangalore</v>
      </c>
      <c r="M14" s="11">
        <f t="shared" si="0"/>
        <v>630</v>
      </c>
      <c r="N14" s="11">
        <f t="shared" si="1"/>
        <v>126</v>
      </c>
      <c r="O14" s="11">
        <f t="shared" si="2"/>
        <v>504</v>
      </c>
      <c r="P14">
        <f>HLOOKUP(TEXT(B14,"MMM"),'Monthly_Targets '!$A$1:$M$11, MATCH(Sales_Enriched!E14,'Monthly_Targets '!$A$1:$A$11,0),FALSE)</f>
        <v>507000</v>
      </c>
      <c r="Q14" t="str">
        <f t="shared" si="3"/>
        <v>High Discount</v>
      </c>
      <c r="R14" t="str">
        <f t="shared" si="4"/>
        <v>Poor</v>
      </c>
    </row>
    <row r="15" spans="1:18" x14ac:dyDescent="0.3">
      <c r="A15" s="3" t="s">
        <v>365</v>
      </c>
      <c r="B15" s="20">
        <v>45052</v>
      </c>
      <c r="C15" s="3" t="s">
        <v>33</v>
      </c>
      <c r="D15" s="3" t="s">
        <v>246</v>
      </c>
      <c r="E15" s="3" t="s">
        <v>153</v>
      </c>
      <c r="F15" s="3">
        <v>5</v>
      </c>
      <c r="G15" s="3">
        <v>20</v>
      </c>
      <c r="H15" t="str">
        <f>INDEX(Products!$B:$B,MATCH(Sales_Enriched!C15,Products!$A:$A,0))</f>
        <v>Samsung 43 Smart TV</v>
      </c>
      <c r="I15" t="str">
        <f>INDEX(Products!$C:$C, MATCH(Sales_Enriched!C15,Products!$A:$A,0))</f>
        <v>Electronics</v>
      </c>
      <c r="J15" s="11">
        <f>INDEX(Products!$F:$F, MATCH(Sales_Enriched!C15,Products!$A:$A,0))</f>
        <v>32999</v>
      </c>
      <c r="K15" t="str">
        <f>INDEX(Customers!$B:$B, MATCH(Sales_Enriched!D15,Customers!$A:$A,0))</f>
        <v>Arun Banerjee</v>
      </c>
      <c r="L15" t="str">
        <f>INDEX(Customers!$C:$C, MATCH(Sales_Enriched!D15,Customers!$A:$A,0))</f>
        <v>Kolkata</v>
      </c>
      <c r="M15" s="11">
        <f t="shared" si="0"/>
        <v>164995</v>
      </c>
      <c r="N15" s="11">
        <f t="shared" si="1"/>
        <v>32999</v>
      </c>
      <c r="O15" s="11">
        <f t="shared" si="2"/>
        <v>131996</v>
      </c>
      <c r="P15">
        <f>HLOOKUP(TEXT(B15,"MMM"),'Monthly_Targets '!$A$1:$M$11, MATCH(Sales_Enriched!E15,'Monthly_Targets '!$A$1:$A$11,0),FALSE)</f>
        <v>625600</v>
      </c>
      <c r="Q15" t="str">
        <f t="shared" si="3"/>
        <v>High Discount</v>
      </c>
      <c r="R15" t="str">
        <f t="shared" si="4"/>
        <v>Poor</v>
      </c>
    </row>
    <row r="16" spans="1:18" x14ac:dyDescent="0.3">
      <c r="A16" s="2" t="s">
        <v>367</v>
      </c>
      <c r="B16" s="19">
        <v>45039</v>
      </c>
      <c r="C16" s="2" t="s">
        <v>60</v>
      </c>
      <c r="D16" s="2" t="s">
        <v>188</v>
      </c>
      <c r="E16" s="2" t="s">
        <v>138</v>
      </c>
      <c r="F16" s="2">
        <v>1</v>
      </c>
      <c r="G16" s="2">
        <v>10</v>
      </c>
      <c r="H16" t="str">
        <f>INDEX(Products!$B:$B,MATCH(Sales_Enriched!C16,Products!$A:$A,0))</f>
        <v>Lakme Lipstick</v>
      </c>
      <c r="I16" t="str">
        <f>INDEX(Products!$C:$C, MATCH(Sales_Enriched!C16,Products!$A:$A,0))</f>
        <v>Beauty</v>
      </c>
      <c r="J16" s="11">
        <f>INDEX(Products!$F:$F, MATCH(Sales_Enriched!C16,Products!$A:$A,0))</f>
        <v>350</v>
      </c>
      <c r="K16" t="str">
        <f>INDEX(Customers!$B:$B, MATCH(Sales_Enriched!D16,Customers!$A:$A,0))</f>
        <v>Priya Singh</v>
      </c>
      <c r="L16" t="str">
        <f>INDEX(Customers!$C:$C, MATCH(Sales_Enriched!D16,Customers!$A:$A,0))</f>
        <v>Mumbai</v>
      </c>
      <c r="M16" s="11">
        <f t="shared" si="0"/>
        <v>350</v>
      </c>
      <c r="N16" s="11">
        <f t="shared" si="1"/>
        <v>35</v>
      </c>
      <c r="O16" s="11">
        <f t="shared" si="2"/>
        <v>315</v>
      </c>
      <c r="P16">
        <f>HLOOKUP(TEXT(B16,"MMM"),'Monthly_Targets '!$A$1:$M$11, MATCH(Sales_Enriched!E16,'Monthly_Targets '!$A$1:$A$11,0),FALSE)</f>
        <v>432000</v>
      </c>
      <c r="Q16" t="str">
        <f t="shared" si="3"/>
        <v>Low Discount</v>
      </c>
      <c r="R16" t="str">
        <f t="shared" si="4"/>
        <v>Poor</v>
      </c>
    </row>
    <row r="17" spans="1:18" x14ac:dyDescent="0.3">
      <c r="A17" s="3" t="s">
        <v>368</v>
      </c>
      <c r="B17" s="20">
        <v>45132</v>
      </c>
      <c r="C17" s="3" t="s">
        <v>49</v>
      </c>
      <c r="D17" s="3" t="s">
        <v>195</v>
      </c>
      <c r="E17" s="3" t="s">
        <v>138</v>
      </c>
      <c r="F17" s="3">
        <v>10</v>
      </c>
      <c r="G17" s="3">
        <v>10</v>
      </c>
      <c r="H17" t="str">
        <f>INDEX(Products!$B:$B,MATCH(Sales_Enriched!C17,Products!$A:$A,0))</f>
        <v>Surf Excel 1kg</v>
      </c>
      <c r="I17" t="str">
        <f>INDEX(Products!$C:$C, MATCH(Sales_Enriched!C17,Products!$A:$A,0))</f>
        <v>Home Care</v>
      </c>
      <c r="J17" s="11">
        <f>INDEX(Products!$F:$F, MATCH(Sales_Enriched!C17,Products!$A:$A,0))</f>
        <v>210</v>
      </c>
      <c r="K17" t="str">
        <f>INDEX(Customers!$B:$B, MATCH(Sales_Enriched!D17,Customers!$A:$A,0))</f>
        <v>Vikram Nair</v>
      </c>
      <c r="L17" t="str">
        <f>INDEX(Customers!$C:$C, MATCH(Sales_Enriched!D17,Customers!$A:$A,0))</f>
        <v>Bangalore</v>
      </c>
      <c r="M17" s="11">
        <f t="shared" si="0"/>
        <v>2100</v>
      </c>
      <c r="N17" s="11">
        <f t="shared" si="1"/>
        <v>210</v>
      </c>
      <c r="O17" s="11">
        <f t="shared" si="2"/>
        <v>1890</v>
      </c>
      <c r="P17">
        <f>HLOOKUP(TEXT(B17,"MMM"),'Monthly_Targets '!$A$1:$M$11, MATCH(Sales_Enriched!E17,'Monthly_Targets '!$A$1:$A$11,0),FALSE)</f>
        <v>393600</v>
      </c>
      <c r="Q17" t="str">
        <f t="shared" si="3"/>
        <v>Low Discount</v>
      </c>
      <c r="R17" t="str">
        <f t="shared" si="4"/>
        <v>Poor</v>
      </c>
    </row>
    <row r="18" spans="1:18" x14ac:dyDescent="0.3">
      <c r="A18" s="2" t="s">
        <v>370</v>
      </c>
      <c r="B18" s="19">
        <v>45035</v>
      </c>
      <c r="C18" s="2" t="s">
        <v>86</v>
      </c>
      <c r="D18" s="2" t="s">
        <v>238</v>
      </c>
      <c r="E18" s="2" t="s">
        <v>159</v>
      </c>
      <c r="F18" s="2">
        <v>3</v>
      </c>
      <c r="G18" s="2">
        <v>5</v>
      </c>
      <c r="H18" t="str">
        <f>INDEX(Products!$B:$B,MATCH(Sales_Enriched!C18,Products!$A:$A,0))</f>
        <v>Milton Steel Bottle 1L</v>
      </c>
      <c r="I18" t="str">
        <f>INDEX(Products!$C:$C, MATCH(Sales_Enriched!C18,Products!$A:$A,0))</f>
        <v>Kitchenware</v>
      </c>
      <c r="J18" s="11">
        <f>INDEX(Products!$F:$F, MATCH(Sales_Enriched!C18,Products!$A:$A,0))</f>
        <v>599</v>
      </c>
      <c r="K18" t="str">
        <f>INDEX(Customers!$B:$B, MATCH(Sales_Enriched!D18,Customers!$A:$A,0))</f>
        <v>Sanjay Iyer</v>
      </c>
      <c r="L18" t="str">
        <f>INDEX(Customers!$C:$C, MATCH(Sales_Enriched!D18,Customers!$A:$A,0))</f>
        <v>Chennai</v>
      </c>
      <c r="M18" s="11">
        <f t="shared" si="0"/>
        <v>1797</v>
      </c>
      <c r="N18" s="11">
        <f t="shared" si="1"/>
        <v>89.850000000000009</v>
      </c>
      <c r="O18" s="11">
        <f t="shared" si="2"/>
        <v>1707.15</v>
      </c>
      <c r="P18">
        <f>HLOOKUP(TEXT(B18,"MMM"),'Monthly_Targets '!$A$1:$M$11, MATCH(Sales_Enriched!E18,'Monthly_Targets '!$A$1:$A$11,0),FALSE)</f>
        <v>369000</v>
      </c>
      <c r="Q18" t="str">
        <f t="shared" si="3"/>
        <v>Low Discount</v>
      </c>
      <c r="R18" t="str">
        <f t="shared" si="4"/>
        <v>Poor</v>
      </c>
    </row>
    <row r="19" spans="1:18" x14ac:dyDescent="0.3">
      <c r="A19" s="3" t="s">
        <v>372</v>
      </c>
      <c r="B19" s="20">
        <v>44998</v>
      </c>
      <c r="C19" s="3" t="s">
        <v>44</v>
      </c>
      <c r="D19" s="3" t="s">
        <v>258</v>
      </c>
      <c r="E19" s="3" t="s">
        <v>163</v>
      </c>
      <c r="F19" s="3">
        <v>5</v>
      </c>
      <c r="G19" s="3">
        <v>10</v>
      </c>
      <c r="H19" t="str">
        <f>INDEX(Products!$B:$B,MATCH(Sales_Enriched!C19,Products!$A:$A,0))</f>
        <v>Philips LED Bulb 9W</v>
      </c>
      <c r="I19" t="str">
        <f>INDEX(Products!$C:$C, MATCH(Sales_Enriched!C19,Products!$A:$A,0))</f>
        <v>Electronics</v>
      </c>
      <c r="J19" s="11">
        <f>INDEX(Products!$F:$F, MATCH(Sales_Enriched!C19,Products!$A:$A,0))</f>
        <v>129</v>
      </c>
      <c r="K19" t="str">
        <f>INDEX(Customers!$B:$B, MATCH(Sales_Enriched!D19,Customers!$A:$A,0))</f>
        <v>Sudha Sharma</v>
      </c>
      <c r="L19" t="str">
        <f>INDEX(Customers!$C:$C, MATCH(Sales_Enriched!D19,Customers!$A:$A,0))</f>
        <v>Bangalore</v>
      </c>
      <c r="M19" s="11">
        <f t="shared" si="0"/>
        <v>645</v>
      </c>
      <c r="N19" s="11">
        <f t="shared" si="1"/>
        <v>64.5</v>
      </c>
      <c r="O19" s="11">
        <f t="shared" si="2"/>
        <v>580.5</v>
      </c>
      <c r="P19">
        <f>HLOOKUP(TEXT(B19,"MMM"),'Monthly_Targets '!$A$1:$M$11, MATCH(Sales_Enriched!E19,'Monthly_Targets '!$A$1:$A$11,0),FALSE)</f>
        <v>674500</v>
      </c>
      <c r="Q19" t="str">
        <f t="shared" si="3"/>
        <v>Low Discount</v>
      </c>
      <c r="R19" t="str">
        <f t="shared" si="4"/>
        <v>Poor</v>
      </c>
    </row>
    <row r="20" spans="1:18" x14ac:dyDescent="0.3">
      <c r="A20" s="2" t="s">
        <v>373</v>
      </c>
      <c r="B20" s="19">
        <v>45225</v>
      </c>
      <c r="C20" s="2" t="s">
        <v>69</v>
      </c>
      <c r="D20" s="2" t="s">
        <v>234</v>
      </c>
      <c r="E20" s="2" t="s">
        <v>138</v>
      </c>
      <c r="F20" s="2">
        <v>3</v>
      </c>
      <c r="G20" s="2">
        <v>20</v>
      </c>
      <c r="H20" t="str">
        <f>INDEX(Products!$B:$B,MATCH(Sales_Enriched!C20,Products!$A:$A,0))</f>
        <v>Levis Jeans</v>
      </c>
      <c r="I20" t="str">
        <f>INDEX(Products!$C:$C, MATCH(Sales_Enriched!C20,Products!$A:$A,0))</f>
        <v>Apparel</v>
      </c>
      <c r="J20" s="11">
        <f>INDEX(Products!$F:$F, MATCH(Sales_Enriched!C20,Products!$A:$A,0))</f>
        <v>2499</v>
      </c>
      <c r="K20" t="str">
        <f>INDEX(Customers!$B:$B, MATCH(Sales_Enriched!D20,Customers!$A:$A,0))</f>
        <v>Anita Kapoor</v>
      </c>
      <c r="L20" t="str">
        <f>INDEX(Customers!$C:$C, MATCH(Sales_Enriched!D20,Customers!$A:$A,0))</f>
        <v>Mumbai</v>
      </c>
      <c r="M20" s="11">
        <f t="shared" si="0"/>
        <v>7497</v>
      </c>
      <c r="N20" s="11">
        <f t="shared" si="1"/>
        <v>1499.4</v>
      </c>
      <c r="O20" s="11">
        <f t="shared" si="2"/>
        <v>5997.6</v>
      </c>
      <c r="P20">
        <f>HLOOKUP(TEXT(B20,"MMM"),'Monthly_Targets '!$A$1:$M$11, MATCH(Sales_Enriched!E20,'Monthly_Targets '!$A$1:$A$11,0),FALSE)</f>
        <v>528000</v>
      </c>
      <c r="Q20" t="str">
        <f t="shared" si="3"/>
        <v>High Discount</v>
      </c>
      <c r="R20" t="str">
        <f t="shared" si="4"/>
        <v>Poor</v>
      </c>
    </row>
    <row r="21" spans="1:18" x14ac:dyDescent="0.3">
      <c r="A21" s="3" t="s">
        <v>375</v>
      </c>
      <c r="B21" s="20">
        <v>45179</v>
      </c>
      <c r="C21" s="3" t="s">
        <v>19</v>
      </c>
      <c r="D21" s="3" t="s">
        <v>188</v>
      </c>
      <c r="E21" s="3" t="s">
        <v>126</v>
      </c>
      <c r="F21" s="3">
        <v>3</v>
      </c>
      <c r="G21" s="3">
        <v>0</v>
      </c>
      <c r="H21" t="str">
        <f>INDEX(Products!$B:$B,MATCH(Sales_Enriched!C21,Products!$A:$A,0))</f>
        <v>Sunflower Oil 1L</v>
      </c>
      <c r="I21" t="str">
        <f>INDEX(Products!$C:$C, MATCH(Sales_Enriched!C21,Products!$A:$A,0))</f>
        <v>Grocery</v>
      </c>
      <c r="J21" s="11">
        <f>INDEX(Products!$F:$F, MATCH(Sales_Enriched!C21,Products!$A:$A,0))</f>
        <v>165</v>
      </c>
      <c r="K21" t="str">
        <f>INDEX(Customers!$B:$B, MATCH(Sales_Enriched!D21,Customers!$A:$A,0))</f>
        <v>Priya Singh</v>
      </c>
      <c r="L21" t="str">
        <f>INDEX(Customers!$C:$C, MATCH(Sales_Enriched!D21,Customers!$A:$A,0))</f>
        <v>Mumbai</v>
      </c>
      <c r="M21" s="11">
        <f t="shared" si="0"/>
        <v>495</v>
      </c>
      <c r="N21" s="11">
        <f t="shared" si="1"/>
        <v>0</v>
      </c>
      <c r="O21" s="11">
        <f t="shared" si="2"/>
        <v>495</v>
      </c>
      <c r="P21">
        <f>HLOOKUP(TEXT(B21,"MMM"),'Monthly_Targets '!$A$1:$M$11, MATCH(Sales_Enriched!E21,'Monthly_Targets '!$A$1:$A$11,0),FALSE)</f>
        <v>494000</v>
      </c>
      <c r="Q21" t="str">
        <f t="shared" si="3"/>
        <v>No Discount</v>
      </c>
      <c r="R21" t="str">
        <f t="shared" si="4"/>
        <v>Poor</v>
      </c>
    </row>
    <row r="22" spans="1:18" x14ac:dyDescent="0.3">
      <c r="A22" s="2" t="s">
        <v>377</v>
      </c>
      <c r="B22" s="19">
        <v>45275</v>
      </c>
      <c r="C22" s="2" t="s">
        <v>75</v>
      </c>
      <c r="D22" s="2" t="s">
        <v>266</v>
      </c>
      <c r="E22" s="2" t="s">
        <v>126</v>
      </c>
      <c r="F22" s="2">
        <v>7</v>
      </c>
      <c r="G22" s="2">
        <v>10</v>
      </c>
      <c r="H22" t="str">
        <f>INDEX(Products!$B:$B,MATCH(Sales_Enriched!C22,Products!$A:$A,0))</f>
        <v>Nike T-Shirt</v>
      </c>
      <c r="I22" t="str">
        <f>INDEX(Products!$C:$C, MATCH(Sales_Enriched!C22,Products!$A:$A,0))</f>
        <v>Apparel</v>
      </c>
      <c r="J22" s="11">
        <f>INDEX(Products!$F:$F, MATCH(Sales_Enriched!C22,Products!$A:$A,0))</f>
        <v>1299</v>
      </c>
      <c r="K22" t="str">
        <f>INDEX(Customers!$B:$B, MATCH(Sales_Enriched!D22,Customers!$A:$A,0))</f>
        <v>Lalita Das</v>
      </c>
      <c r="L22" t="str">
        <f>INDEX(Customers!$C:$C, MATCH(Sales_Enriched!D22,Customers!$A:$A,0))</f>
        <v>Kolkata</v>
      </c>
      <c r="M22" s="11">
        <f t="shared" si="0"/>
        <v>9093</v>
      </c>
      <c r="N22" s="11">
        <f t="shared" si="1"/>
        <v>909.30000000000007</v>
      </c>
      <c r="O22" s="11">
        <f t="shared" si="2"/>
        <v>8183.7</v>
      </c>
      <c r="P22">
        <f>HLOOKUP(TEXT(B22,"MMM"),'Monthly_Targets '!$A$1:$M$11, MATCH(Sales_Enriched!E22,'Monthly_Targets '!$A$1:$A$11,0),FALSE)</f>
        <v>676000</v>
      </c>
      <c r="Q22" t="str">
        <f t="shared" si="3"/>
        <v>Low Discount</v>
      </c>
      <c r="R22" t="str">
        <f t="shared" si="4"/>
        <v>Poor</v>
      </c>
    </row>
    <row r="23" spans="1:18" x14ac:dyDescent="0.3">
      <c r="A23" s="3" t="s">
        <v>379</v>
      </c>
      <c r="B23" s="20">
        <v>45232</v>
      </c>
      <c r="C23" s="3" t="s">
        <v>80</v>
      </c>
      <c r="D23" s="3" t="s">
        <v>254</v>
      </c>
      <c r="E23" s="3" t="s">
        <v>142</v>
      </c>
      <c r="F23" s="3">
        <v>9</v>
      </c>
      <c r="G23" s="3">
        <v>0</v>
      </c>
      <c r="H23" t="str">
        <f>INDEX(Products!$B:$B,MATCH(Sales_Enriched!C23,Products!$A:$A,0))</f>
        <v>Prestige Cooker 5L</v>
      </c>
      <c r="I23" t="str">
        <f>INDEX(Products!$C:$C, MATCH(Sales_Enriched!C23,Products!$A:$A,0))</f>
        <v>Kitchenware</v>
      </c>
      <c r="J23" s="11">
        <f>INDEX(Products!$F:$F, MATCH(Sales_Enriched!C23,Products!$A:$A,0))</f>
        <v>1850</v>
      </c>
      <c r="K23" t="str">
        <f>INDEX(Customers!$B:$B, MATCH(Sales_Enriched!D23,Customers!$A:$A,0))</f>
        <v>Dinesh Yadav</v>
      </c>
      <c r="L23" t="str">
        <f>INDEX(Customers!$C:$C, MATCH(Sales_Enriched!D23,Customers!$A:$A,0))</f>
        <v>Delhi</v>
      </c>
      <c r="M23" s="11">
        <f t="shared" si="0"/>
        <v>16650</v>
      </c>
      <c r="N23" s="11">
        <f t="shared" si="1"/>
        <v>0</v>
      </c>
      <c r="O23" s="11">
        <f t="shared" si="2"/>
        <v>16650</v>
      </c>
      <c r="P23">
        <f>HLOOKUP(TEXT(B23,"MMM"),'Monthly_Targets '!$A$1:$M$11, MATCH(Sales_Enriched!E23,'Monthly_Targets '!$A$1:$A$11,0),FALSE)</f>
        <v>912000</v>
      </c>
      <c r="Q23" t="str">
        <f t="shared" si="3"/>
        <v>No Discount</v>
      </c>
      <c r="R23" t="str">
        <f t="shared" si="4"/>
        <v>Poor</v>
      </c>
    </row>
    <row r="24" spans="1:18" x14ac:dyDescent="0.3">
      <c r="A24" s="2" t="s">
        <v>381</v>
      </c>
      <c r="B24" s="19">
        <v>45275</v>
      </c>
      <c r="C24" s="2" t="s">
        <v>24</v>
      </c>
      <c r="D24" s="2" t="s">
        <v>258</v>
      </c>
      <c r="E24" s="2" t="s">
        <v>142</v>
      </c>
      <c r="F24" s="2">
        <v>6</v>
      </c>
      <c r="G24" s="2">
        <v>0</v>
      </c>
      <c r="H24" t="str">
        <f>INDEX(Products!$B:$B,MATCH(Sales_Enriched!C24,Products!$A:$A,0))</f>
        <v>Amul Butter 500g</v>
      </c>
      <c r="I24" t="str">
        <f>INDEX(Products!$C:$C, MATCH(Sales_Enriched!C24,Products!$A:$A,0))</f>
        <v>Dairy</v>
      </c>
      <c r="J24" s="11">
        <f>INDEX(Products!$F:$F, MATCH(Sales_Enriched!C24,Products!$A:$A,0))</f>
        <v>275</v>
      </c>
      <c r="K24" t="str">
        <f>INDEX(Customers!$B:$B, MATCH(Sales_Enriched!D24,Customers!$A:$A,0))</f>
        <v>Sudha Sharma</v>
      </c>
      <c r="L24" t="str">
        <f>INDEX(Customers!$C:$C, MATCH(Sales_Enriched!D24,Customers!$A:$A,0))</f>
        <v>Bangalore</v>
      </c>
      <c r="M24" s="11">
        <f t="shared" si="0"/>
        <v>1650</v>
      </c>
      <c r="N24" s="11">
        <f t="shared" si="1"/>
        <v>0</v>
      </c>
      <c r="O24" s="11">
        <f t="shared" si="2"/>
        <v>1650</v>
      </c>
      <c r="P24">
        <f>HLOOKUP(TEXT(B24,"MMM"),'Monthly_Targets '!$A$1:$M$11, MATCH(Sales_Enriched!E24,'Monthly_Targets '!$A$1:$A$11,0),FALSE)</f>
        <v>988000</v>
      </c>
      <c r="Q24" t="str">
        <f t="shared" si="3"/>
        <v>No Discount</v>
      </c>
      <c r="R24" t="str">
        <f t="shared" si="4"/>
        <v>Poor</v>
      </c>
    </row>
    <row r="25" spans="1:18" x14ac:dyDescent="0.3">
      <c r="A25" s="3" t="s">
        <v>382</v>
      </c>
      <c r="B25" s="20">
        <v>45077</v>
      </c>
      <c r="C25" s="3" t="s">
        <v>75</v>
      </c>
      <c r="D25" s="3" t="s">
        <v>208</v>
      </c>
      <c r="E25" s="3" t="s">
        <v>159</v>
      </c>
      <c r="F25" s="3">
        <v>1</v>
      </c>
      <c r="G25" s="3">
        <v>5</v>
      </c>
      <c r="H25" t="str">
        <f>INDEX(Products!$B:$B,MATCH(Sales_Enriched!C25,Products!$A:$A,0))</f>
        <v>Nike T-Shirt</v>
      </c>
      <c r="I25" t="str">
        <f>INDEX(Products!$C:$C, MATCH(Sales_Enriched!C25,Products!$A:$A,0))</f>
        <v>Apparel</v>
      </c>
      <c r="J25" s="11">
        <f>INDEX(Products!$F:$F, MATCH(Sales_Enriched!C25,Products!$A:$A,0))</f>
        <v>1299</v>
      </c>
      <c r="K25" t="str">
        <f>INDEX(Customers!$B:$B, MATCH(Sales_Enriched!D25,Customers!$A:$A,0))</f>
        <v>Deepa Menon</v>
      </c>
      <c r="L25" t="str">
        <f>INDEX(Customers!$C:$C, MATCH(Sales_Enriched!D25,Customers!$A:$A,0))</f>
        <v>Mumbai</v>
      </c>
      <c r="M25" s="11">
        <f t="shared" si="0"/>
        <v>1299</v>
      </c>
      <c r="N25" s="11">
        <f t="shared" si="1"/>
        <v>64.95</v>
      </c>
      <c r="O25" s="11">
        <f t="shared" si="2"/>
        <v>1234.05</v>
      </c>
      <c r="P25">
        <f>HLOOKUP(TEXT(B25,"MMM"),'Monthly_Targets '!$A$1:$M$11, MATCH(Sales_Enriched!E25,'Monthly_Targets '!$A$1:$A$11,0),FALSE)</f>
        <v>377200</v>
      </c>
      <c r="Q25" t="str">
        <f t="shared" si="3"/>
        <v>Low Discount</v>
      </c>
      <c r="R25" t="str">
        <f t="shared" si="4"/>
        <v>Poor</v>
      </c>
    </row>
    <row r="26" spans="1:18" x14ac:dyDescent="0.3">
      <c r="A26" s="2" t="s">
        <v>384</v>
      </c>
      <c r="B26" s="19">
        <v>45183</v>
      </c>
      <c r="C26" s="2" t="s">
        <v>33</v>
      </c>
      <c r="D26" s="2" t="s">
        <v>254</v>
      </c>
      <c r="E26" s="2" t="s">
        <v>126</v>
      </c>
      <c r="F26" s="2">
        <v>5</v>
      </c>
      <c r="G26" s="2">
        <v>20</v>
      </c>
      <c r="H26" t="str">
        <f>INDEX(Products!$B:$B,MATCH(Sales_Enriched!C26,Products!$A:$A,0))</f>
        <v>Samsung 43 Smart TV</v>
      </c>
      <c r="I26" t="str">
        <f>INDEX(Products!$C:$C, MATCH(Sales_Enriched!C26,Products!$A:$A,0))</f>
        <v>Electronics</v>
      </c>
      <c r="J26" s="11">
        <f>INDEX(Products!$F:$F, MATCH(Sales_Enriched!C26,Products!$A:$A,0))</f>
        <v>32999</v>
      </c>
      <c r="K26" t="str">
        <f>INDEX(Customers!$B:$B, MATCH(Sales_Enriched!D26,Customers!$A:$A,0))</f>
        <v>Dinesh Yadav</v>
      </c>
      <c r="L26" t="str">
        <f>INDEX(Customers!$C:$C, MATCH(Sales_Enriched!D26,Customers!$A:$A,0))</f>
        <v>Delhi</v>
      </c>
      <c r="M26" s="11">
        <f t="shared" si="0"/>
        <v>164995</v>
      </c>
      <c r="N26" s="11">
        <f t="shared" si="1"/>
        <v>32999</v>
      </c>
      <c r="O26" s="11">
        <f t="shared" si="2"/>
        <v>131996</v>
      </c>
      <c r="P26">
        <f>HLOOKUP(TEXT(B26,"MMM"),'Monthly_Targets '!$A$1:$M$11, MATCH(Sales_Enriched!E26,'Monthly_Targets '!$A$1:$A$11,0),FALSE)</f>
        <v>494000</v>
      </c>
      <c r="Q26" t="str">
        <f t="shared" si="3"/>
        <v>High Discount</v>
      </c>
      <c r="R26" t="str">
        <f t="shared" si="4"/>
        <v>Poor</v>
      </c>
    </row>
    <row r="27" spans="1:18" x14ac:dyDescent="0.3">
      <c r="A27" s="3" t="s">
        <v>386</v>
      </c>
      <c r="B27" s="20">
        <v>45238</v>
      </c>
      <c r="C27" s="3" t="s">
        <v>39</v>
      </c>
      <c r="D27" s="3" t="s">
        <v>204</v>
      </c>
      <c r="E27" s="3" t="s">
        <v>149</v>
      </c>
      <c r="F27" s="3">
        <v>3</v>
      </c>
      <c r="G27" s="3">
        <v>20</v>
      </c>
      <c r="H27" t="str">
        <f>INDEX(Products!$B:$B,MATCH(Sales_Enriched!C27,Products!$A:$A,0))</f>
        <v>boAt Rockerz 450</v>
      </c>
      <c r="I27" t="str">
        <f>INDEX(Products!$C:$C, MATCH(Sales_Enriched!C27,Products!$A:$A,0))</f>
        <v>Electronics</v>
      </c>
      <c r="J27" s="11">
        <f>INDEX(Products!$F:$F, MATCH(Sales_Enriched!C27,Products!$A:$A,0))</f>
        <v>1499</v>
      </c>
      <c r="K27" t="str">
        <f>INDEX(Customers!$B:$B, MATCH(Sales_Enriched!D27,Customers!$A:$A,0))</f>
        <v>Rohan Gupta</v>
      </c>
      <c r="L27" t="str">
        <f>INDEX(Customers!$C:$C, MATCH(Sales_Enriched!D27,Customers!$A:$A,0))</f>
        <v>Delhi</v>
      </c>
      <c r="M27" s="11">
        <f t="shared" si="0"/>
        <v>4497</v>
      </c>
      <c r="N27" s="11">
        <f t="shared" si="1"/>
        <v>899.40000000000009</v>
      </c>
      <c r="O27" s="11">
        <f t="shared" si="2"/>
        <v>3597.6</v>
      </c>
      <c r="P27">
        <f>HLOOKUP(TEXT(B27,"MMM"),'Monthly_Targets '!$A$1:$M$11, MATCH(Sales_Enriched!E27,'Monthly_Targets '!$A$1:$A$11,0),FALSE)</f>
        <v>504000</v>
      </c>
      <c r="Q27" t="str">
        <f t="shared" si="3"/>
        <v>High Discount</v>
      </c>
      <c r="R27" t="str">
        <f t="shared" si="4"/>
        <v>Poor</v>
      </c>
    </row>
    <row r="28" spans="1:18" x14ac:dyDescent="0.3">
      <c r="A28" s="2" t="s">
        <v>388</v>
      </c>
      <c r="B28" s="19">
        <v>45198</v>
      </c>
      <c r="C28" s="2" t="s">
        <v>8</v>
      </c>
      <c r="D28" s="2" t="s">
        <v>266</v>
      </c>
      <c r="E28" s="2" t="s">
        <v>149</v>
      </c>
      <c r="F28" s="2">
        <v>8</v>
      </c>
      <c r="G28" s="2">
        <v>0</v>
      </c>
      <c r="H28" t="str">
        <f>INDEX(Products!$B:$B,MATCH(Sales_Enriched!C28,Products!$A:$A,0))</f>
        <v>Basmati Rice 5kg</v>
      </c>
      <c r="I28" t="str">
        <f>INDEX(Products!$C:$C, MATCH(Sales_Enriched!C28,Products!$A:$A,0))</f>
        <v>Grocery</v>
      </c>
      <c r="J28" s="11">
        <f>INDEX(Products!$F:$F, MATCH(Sales_Enriched!C28,Products!$A:$A,0))</f>
        <v>320</v>
      </c>
      <c r="K28" t="str">
        <f>INDEX(Customers!$B:$B, MATCH(Sales_Enriched!D28,Customers!$A:$A,0))</f>
        <v>Lalita Das</v>
      </c>
      <c r="L28" t="str">
        <f>INDEX(Customers!$C:$C, MATCH(Sales_Enriched!D28,Customers!$A:$A,0))</f>
        <v>Kolkata</v>
      </c>
      <c r="M28" s="11">
        <f t="shared" si="0"/>
        <v>2560</v>
      </c>
      <c r="N28" s="11">
        <f t="shared" si="1"/>
        <v>0</v>
      </c>
      <c r="O28" s="11">
        <f t="shared" si="2"/>
        <v>2560</v>
      </c>
      <c r="P28">
        <f>HLOOKUP(TEXT(B28,"MMM"),'Monthly_Targets '!$A$1:$M$11, MATCH(Sales_Enriched!E28,'Monthly_Targets '!$A$1:$A$11,0),FALSE)</f>
        <v>399000</v>
      </c>
      <c r="Q28" t="str">
        <f t="shared" si="3"/>
        <v>No Discount</v>
      </c>
      <c r="R28" t="str">
        <f t="shared" si="4"/>
        <v>Poor</v>
      </c>
    </row>
    <row r="29" spans="1:18" x14ac:dyDescent="0.3">
      <c r="A29" s="3" t="s">
        <v>390</v>
      </c>
      <c r="B29" s="20">
        <v>44984</v>
      </c>
      <c r="C29" s="3" t="s">
        <v>65</v>
      </c>
      <c r="D29" s="3" t="s">
        <v>225</v>
      </c>
      <c r="E29" s="3" t="s">
        <v>138</v>
      </c>
      <c r="F29" s="3">
        <v>1</v>
      </c>
      <c r="G29" s="3">
        <v>5</v>
      </c>
      <c r="H29" t="str">
        <f>INDEX(Products!$B:$B,MATCH(Sales_Enriched!C29,Products!$A:$A,0))</f>
        <v>Dove Shampoo 340ml</v>
      </c>
      <c r="I29" t="str">
        <f>INDEX(Products!$C:$C, MATCH(Sales_Enriched!C29,Products!$A:$A,0))</f>
        <v>Beauty</v>
      </c>
      <c r="J29" s="11">
        <f>INDEX(Products!$F:$F, MATCH(Sales_Enriched!C29,Products!$A:$A,0))</f>
        <v>299</v>
      </c>
      <c r="K29" t="str">
        <f>INDEX(Customers!$B:$B, MATCH(Sales_Enriched!D29,Customers!$A:$A,0))</f>
        <v>Rupa Devi</v>
      </c>
      <c r="L29" t="str">
        <f>INDEX(Customers!$C:$C, MATCH(Sales_Enriched!D29,Customers!$A:$A,0))</f>
        <v>Kolkata</v>
      </c>
      <c r="M29" s="11">
        <f t="shared" si="0"/>
        <v>299</v>
      </c>
      <c r="N29" s="11">
        <f t="shared" si="1"/>
        <v>14.950000000000001</v>
      </c>
      <c r="O29" s="11">
        <f t="shared" si="2"/>
        <v>284.05</v>
      </c>
      <c r="P29">
        <f>HLOOKUP(TEXT(B29,"MMM"),'Monthly_Targets '!$A$1:$M$11, MATCH(Sales_Enriched!E29,'Monthly_Targets '!$A$1:$A$11,0),FALSE)</f>
        <v>422400</v>
      </c>
      <c r="Q29" t="str">
        <f t="shared" si="3"/>
        <v>Low Discount</v>
      </c>
      <c r="R29" t="str">
        <f t="shared" si="4"/>
        <v>Poor</v>
      </c>
    </row>
    <row r="30" spans="1:18" x14ac:dyDescent="0.3">
      <c r="A30" s="2" t="s">
        <v>392</v>
      </c>
      <c r="B30" s="19">
        <v>45217</v>
      </c>
      <c r="C30" s="2" t="s">
        <v>19</v>
      </c>
      <c r="D30" s="2" t="s">
        <v>195</v>
      </c>
      <c r="E30" s="2" t="s">
        <v>159</v>
      </c>
      <c r="F30" s="2">
        <v>2</v>
      </c>
      <c r="G30" s="2">
        <v>20</v>
      </c>
      <c r="H30" t="str">
        <f>INDEX(Products!$B:$B,MATCH(Sales_Enriched!C30,Products!$A:$A,0))</f>
        <v>Sunflower Oil 1L</v>
      </c>
      <c r="I30" t="str">
        <f>INDEX(Products!$C:$C, MATCH(Sales_Enriched!C30,Products!$A:$A,0))</f>
        <v>Grocery</v>
      </c>
      <c r="J30" s="11">
        <f>INDEX(Products!$F:$F, MATCH(Sales_Enriched!C30,Products!$A:$A,0))</f>
        <v>165</v>
      </c>
      <c r="K30" t="str">
        <f>INDEX(Customers!$B:$B, MATCH(Sales_Enriched!D30,Customers!$A:$A,0))</f>
        <v>Vikram Nair</v>
      </c>
      <c r="L30" t="str">
        <f>INDEX(Customers!$C:$C, MATCH(Sales_Enriched!D30,Customers!$A:$A,0))</f>
        <v>Bangalore</v>
      </c>
      <c r="M30" s="11">
        <f t="shared" si="0"/>
        <v>330</v>
      </c>
      <c r="N30" s="11">
        <f t="shared" si="1"/>
        <v>66</v>
      </c>
      <c r="O30" s="11">
        <f t="shared" si="2"/>
        <v>264</v>
      </c>
      <c r="P30">
        <f>HLOOKUP(TEXT(B30,"MMM"),'Monthly_Targets '!$A$1:$M$11, MATCH(Sales_Enriched!E30,'Monthly_Targets '!$A$1:$A$11,0),FALSE)</f>
        <v>451000</v>
      </c>
      <c r="Q30" t="str">
        <f t="shared" si="3"/>
        <v>High Discount</v>
      </c>
      <c r="R30" t="str">
        <f t="shared" si="4"/>
        <v>Poor</v>
      </c>
    </row>
    <row r="31" spans="1:18" x14ac:dyDescent="0.3">
      <c r="A31" s="3" t="s">
        <v>394</v>
      </c>
      <c r="B31" s="20">
        <v>44991</v>
      </c>
      <c r="C31" s="3" t="s">
        <v>30</v>
      </c>
      <c r="D31" s="3" t="s">
        <v>250</v>
      </c>
      <c r="E31" s="3" t="s">
        <v>163</v>
      </c>
      <c r="F31" s="3">
        <v>3</v>
      </c>
      <c r="G31" s="3">
        <v>5</v>
      </c>
      <c r="H31" t="str">
        <f>INDEX(Products!$B:$B,MATCH(Sales_Enriched!C31,Products!$A:$A,0))</f>
        <v>Amul Gold Milk 1L</v>
      </c>
      <c r="I31" t="str">
        <f>INDEX(Products!$C:$C, MATCH(Sales_Enriched!C31,Products!$A:$A,0))</f>
        <v>Dairy</v>
      </c>
      <c r="J31" s="11">
        <f>INDEX(Products!$F:$F, MATCH(Sales_Enriched!C31,Products!$A:$A,0))</f>
        <v>68</v>
      </c>
      <c r="K31" t="str">
        <f>INDEX(Customers!$B:$B, MATCH(Sales_Enriched!D31,Customers!$A:$A,0))</f>
        <v>Rekha Pillai</v>
      </c>
      <c r="L31" t="str">
        <f>INDEX(Customers!$C:$C, MATCH(Sales_Enriched!D31,Customers!$A:$A,0))</f>
        <v>Chennai</v>
      </c>
      <c r="M31" s="11">
        <f t="shared" si="0"/>
        <v>204</v>
      </c>
      <c r="N31" s="11">
        <f t="shared" si="1"/>
        <v>10.200000000000001</v>
      </c>
      <c r="O31" s="11">
        <f t="shared" si="2"/>
        <v>193.8</v>
      </c>
      <c r="P31">
        <f>HLOOKUP(TEXT(B31,"MMM"),'Monthly_Targets '!$A$1:$M$11, MATCH(Sales_Enriched!E31,'Monthly_Targets '!$A$1:$A$11,0),FALSE)</f>
        <v>674500</v>
      </c>
      <c r="Q31" t="str">
        <f t="shared" si="3"/>
        <v>Low Discount</v>
      </c>
      <c r="R31" t="str">
        <f t="shared" si="4"/>
        <v>Poor</v>
      </c>
    </row>
    <row r="32" spans="1:18" x14ac:dyDescent="0.3">
      <c r="A32" s="2" t="s">
        <v>396</v>
      </c>
      <c r="B32" s="19">
        <v>45197</v>
      </c>
      <c r="C32" s="2" t="s">
        <v>106</v>
      </c>
      <c r="D32" s="2" t="s">
        <v>242</v>
      </c>
      <c r="E32" s="2" t="s">
        <v>138</v>
      </c>
      <c r="F32" s="2">
        <v>9</v>
      </c>
      <c r="G32" s="2">
        <v>5</v>
      </c>
      <c r="H32" t="str">
        <f>INDEX(Products!$B:$B,MATCH(Sales_Enriched!C32,Products!$A:$A,0))</f>
        <v>Woodland Shoes</v>
      </c>
      <c r="I32" t="str">
        <f>INDEX(Products!$C:$C, MATCH(Sales_Enriched!C32,Products!$A:$A,0))</f>
        <v>Apparel</v>
      </c>
      <c r="J32" s="11">
        <f>INDEX(Products!$F:$F, MATCH(Sales_Enriched!C32,Products!$A:$A,0))</f>
        <v>3499</v>
      </c>
      <c r="K32" t="str">
        <f>INDEX(Customers!$B:$B, MATCH(Sales_Enriched!D32,Customers!$A:$A,0))</f>
        <v>Pooja Verma</v>
      </c>
      <c r="L32" t="str">
        <f>INDEX(Customers!$C:$C, MATCH(Sales_Enriched!D32,Customers!$A:$A,0))</f>
        <v>Bangalore</v>
      </c>
      <c r="M32" s="11">
        <f t="shared" si="0"/>
        <v>31491</v>
      </c>
      <c r="N32" s="11">
        <f t="shared" si="1"/>
        <v>1574.5500000000002</v>
      </c>
      <c r="O32" s="11">
        <f t="shared" si="2"/>
        <v>29916.45</v>
      </c>
      <c r="P32">
        <f>HLOOKUP(TEXT(B32,"MMM"),'Monthly_Targets '!$A$1:$M$11, MATCH(Sales_Enriched!E32,'Monthly_Targets '!$A$1:$A$11,0),FALSE)</f>
        <v>456000</v>
      </c>
      <c r="Q32" t="str">
        <f t="shared" si="3"/>
        <v>Low Discount</v>
      </c>
      <c r="R32" t="str">
        <f t="shared" si="4"/>
        <v>Poor</v>
      </c>
    </row>
    <row r="33" spans="1:18" x14ac:dyDescent="0.3">
      <c r="A33" s="3" t="s">
        <v>398</v>
      </c>
      <c r="B33" s="20">
        <v>45086</v>
      </c>
      <c r="C33" s="3" t="s">
        <v>69</v>
      </c>
      <c r="D33" s="3" t="s">
        <v>234</v>
      </c>
      <c r="E33" s="3" t="s">
        <v>159</v>
      </c>
      <c r="F33" s="3">
        <v>9</v>
      </c>
      <c r="G33" s="3">
        <v>15</v>
      </c>
      <c r="H33" t="str">
        <f>INDEX(Products!$B:$B,MATCH(Sales_Enriched!C33,Products!$A:$A,0))</f>
        <v>Levis Jeans</v>
      </c>
      <c r="I33" t="str">
        <f>INDEX(Products!$C:$C, MATCH(Sales_Enriched!C33,Products!$A:$A,0))</f>
        <v>Apparel</v>
      </c>
      <c r="J33" s="11">
        <f>INDEX(Products!$F:$F, MATCH(Sales_Enriched!C33,Products!$A:$A,0))</f>
        <v>2499</v>
      </c>
      <c r="K33" t="str">
        <f>INDEX(Customers!$B:$B, MATCH(Sales_Enriched!D33,Customers!$A:$A,0))</f>
        <v>Anita Kapoor</v>
      </c>
      <c r="L33" t="str">
        <f>INDEX(Customers!$C:$C, MATCH(Sales_Enriched!D33,Customers!$A:$A,0))</f>
        <v>Mumbai</v>
      </c>
      <c r="M33" s="11">
        <f t="shared" si="0"/>
        <v>22491</v>
      </c>
      <c r="N33" s="11">
        <f t="shared" si="1"/>
        <v>3373.65</v>
      </c>
      <c r="O33" s="11">
        <f t="shared" si="2"/>
        <v>19117.349999999999</v>
      </c>
      <c r="P33">
        <f>HLOOKUP(TEXT(B33,"MMM"),'Monthly_Targets '!$A$1:$M$11, MATCH(Sales_Enriched!E33,'Monthly_Targets '!$A$1:$A$11,0),FALSE)</f>
        <v>360800</v>
      </c>
      <c r="Q33" t="str">
        <f t="shared" si="3"/>
        <v>High Discount</v>
      </c>
      <c r="R33" t="str">
        <f t="shared" si="4"/>
        <v>Poor</v>
      </c>
    </row>
    <row r="34" spans="1:18" x14ac:dyDescent="0.3">
      <c r="A34" s="2" t="s">
        <v>400</v>
      </c>
      <c r="B34" s="19">
        <v>44988</v>
      </c>
      <c r="C34" s="2" t="s">
        <v>44</v>
      </c>
      <c r="D34" s="2" t="s">
        <v>217</v>
      </c>
      <c r="E34" s="2" t="s">
        <v>126</v>
      </c>
      <c r="F34" s="2">
        <v>6</v>
      </c>
      <c r="G34" s="2">
        <v>0</v>
      </c>
      <c r="H34" t="str">
        <f>INDEX(Products!$B:$B,MATCH(Sales_Enriched!C34,Products!$A:$A,0))</f>
        <v>Philips LED Bulb 9W</v>
      </c>
      <c r="I34" t="str">
        <f>INDEX(Products!$C:$C, MATCH(Sales_Enriched!C34,Products!$A:$A,0))</f>
        <v>Electronics</v>
      </c>
      <c r="J34" s="11">
        <f>INDEX(Products!$F:$F, MATCH(Sales_Enriched!C34,Products!$A:$A,0))</f>
        <v>129</v>
      </c>
      <c r="K34" t="str">
        <f>INDEX(Customers!$B:$B, MATCH(Sales_Enriched!D34,Customers!$A:$A,0))</f>
        <v>Kavitha Kumar</v>
      </c>
      <c r="L34" t="str">
        <f>INDEX(Customers!$C:$C, MATCH(Sales_Enriched!D34,Customers!$A:$A,0))</f>
        <v>Chennai</v>
      </c>
      <c r="M34" s="11">
        <f t="shared" si="0"/>
        <v>774</v>
      </c>
      <c r="N34" s="11">
        <f t="shared" si="1"/>
        <v>0</v>
      </c>
      <c r="O34" s="11">
        <f t="shared" si="2"/>
        <v>774</v>
      </c>
      <c r="P34">
        <f>HLOOKUP(TEXT(B34,"MMM"),'Monthly_Targets '!$A$1:$M$11, MATCH(Sales_Enriched!E34,'Monthly_Targets '!$A$1:$A$11,0),FALSE)</f>
        <v>494000</v>
      </c>
      <c r="Q34" t="str">
        <f t="shared" si="3"/>
        <v>No Discount</v>
      </c>
      <c r="R34" t="str">
        <f t="shared" si="4"/>
        <v>Poor</v>
      </c>
    </row>
    <row r="35" spans="1:18" x14ac:dyDescent="0.3">
      <c r="A35" s="3" t="s">
        <v>402</v>
      </c>
      <c r="B35" s="20">
        <v>45228</v>
      </c>
      <c r="C35" s="3" t="s">
        <v>96</v>
      </c>
      <c r="D35" s="3" t="s">
        <v>217</v>
      </c>
      <c r="E35" s="3" t="s">
        <v>170</v>
      </c>
      <c r="F35" s="3">
        <v>4</v>
      </c>
      <c r="G35" s="3">
        <v>0</v>
      </c>
      <c r="H35" t="str">
        <f>INDEX(Products!$B:$B,MATCH(Sales_Enriched!C35,Products!$A:$A,0))</f>
        <v>Maggi Noodles 12pk</v>
      </c>
      <c r="I35" t="str">
        <f>INDEX(Products!$C:$C, MATCH(Sales_Enriched!C35,Products!$A:$A,0))</f>
        <v>Grocery</v>
      </c>
      <c r="J35" s="11">
        <f>INDEX(Products!$F:$F, MATCH(Sales_Enriched!C35,Products!$A:$A,0))</f>
        <v>180</v>
      </c>
      <c r="K35" t="str">
        <f>INDEX(Customers!$B:$B, MATCH(Sales_Enriched!D35,Customers!$A:$A,0))</f>
        <v>Kavitha Kumar</v>
      </c>
      <c r="L35" t="str">
        <f>INDEX(Customers!$C:$C, MATCH(Sales_Enriched!D35,Customers!$A:$A,0))</f>
        <v>Chennai</v>
      </c>
      <c r="M35" s="11">
        <f t="shared" si="0"/>
        <v>720</v>
      </c>
      <c r="N35" s="11">
        <f t="shared" si="1"/>
        <v>0</v>
      </c>
      <c r="O35" s="11">
        <f t="shared" si="2"/>
        <v>720</v>
      </c>
      <c r="P35">
        <f>HLOOKUP(TEXT(B35,"MMM"),'Monthly_Targets '!$A$1:$M$11, MATCH(Sales_Enriched!E35,'Monthly_Targets '!$A$1:$A$11,0),FALSE)</f>
        <v>429000</v>
      </c>
      <c r="Q35" t="str">
        <f t="shared" si="3"/>
        <v>No Discount</v>
      </c>
      <c r="R35" t="str">
        <f t="shared" si="4"/>
        <v>Poor</v>
      </c>
    </row>
    <row r="36" spans="1:18" x14ac:dyDescent="0.3">
      <c r="A36" s="2" t="s">
        <v>404</v>
      </c>
      <c r="B36" s="19">
        <v>44963</v>
      </c>
      <c r="C36" s="2" t="s">
        <v>14</v>
      </c>
      <c r="D36" s="2" t="s">
        <v>217</v>
      </c>
      <c r="E36" s="2" t="s">
        <v>126</v>
      </c>
      <c r="F36" s="2">
        <v>1</v>
      </c>
      <c r="G36" s="2">
        <v>10</v>
      </c>
      <c r="H36" t="str">
        <f>INDEX(Products!$B:$B,MATCH(Sales_Enriched!C36,Products!$A:$A,0))</f>
        <v>Toor Dal 1kg</v>
      </c>
      <c r="I36" t="str">
        <f>INDEX(Products!$C:$C, MATCH(Sales_Enriched!C36,Products!$A:$A,0))</f>
        <v>Grocery</v>
      </c>
      <c r="J36" s="11">
        <f>INDEX(Products!$F:$F, MATCH(Sales_Enriched!C36,Products!$A:$A,0))</f>
        <v>145</v>
      </c>
      <c r="K36" t="str">
        <f>INDEX(Customers!$B:$B, MATCH(Sales_Enriched!D36,Customers!$A:$A,0))</f>
        <v>Kavitha Kumar</v>
      </c>
      <c r="L36" t="str">
        <f>INDEX(Customers!$C:$C, MATCH(Sales_Enriched!D36,Customers!$A:$A,0))</f>
        <v>Chennai</v>
      </c>
      <c r="M36" s="11">
        <f t="shared" si="0"/>
        <v>145</v>
      </c>
      <c r="N36" s="11">
        <f t="shared" si="1"/>
        <v>14.5</v>
      </c>
      <c r="O36" s="11">
        <f t="shared" si="2"/>
        <v>130.5</v>
      </c>
      <c r="P36">
        <f>HLOOKUP(TEXT(B36,"MMM"),'Monthly_Targets '!$A$1:$M$11, MATCH(Sales_Enriched!E36,'Monthly_Targets '!$A$1:$A$11,0),FALSE)</f>
        <v>457600</v>
      </c>
      <c r="Q36" t="str">
        <f t="shared" si="3"/>
        <v>Low Discount</v>
      </c>
      <c r="R36" t="str">
        <f t="shared" si="4"/>
        <v>Poor</v>
      </c>
    </row>
    <row r="37" spans="1:18" x14ac:dyDescent="0.3">
      <c r="A37" s="3" t="s">
        <v>406</v>
      </c>
      <c r="B37" s="20">
        <v>44963</v>
      </c>
      <c r="C37" s="3" t="s">
        <v>91</v>
      </c>
      <c r="D37" s="3" t="s">
        <v>217</v>
      </c>
      <c r="E37" s="3" t="s">
        <v>142</v>
      </c>
      <c r="F37" s="3">
        <v>8</v>
      </c>
      <c r="G37" s="3">
        <v>5</v>
      </c>
      <c r="H37" t="str">
        <f>INDEX(Products!$B:$B,MATCH(Sales_Enriched!C37,Products!$A:$A,0))</f>
        <v>Parle-G Biscuits 1kg</v>
      </c>
      <c r="I37" t="str">
        <f>INDEX(Products!$C:$C, MATCH(Sales_Enriched!C37,Products!$A:$A,0))</f>
        <v>Grocery</v>
      </c>
      <c r="J37" s="11">
        <f>INDEX(Products!$F:$F, MATCH(Sales_Enriched!C37,Products!$A:$A,0))</f>
        <v>95</v>
      </c>
      <c r="K37" t="str">
        <f>INDEX(Customers!$B:$B, MATCH(Sales_Enriched!D37,Customers!$A:$A,0))</f>
        <v>Kavitha Kumar</v>
      </c>
      <c r="L37" t="str">
        <f>INDEX(Customers!$C:$C, MATCH(Sales_Enriched!D37,Customers!$A:$A,0))</f>
        <v>Chennai</v>
      </c>
      <c r="M37" s="11">
        <f t="shared" si="0"/>
        <v>760</v>
      </c>
      <c r="N37" s="11">
        <f t="shared" si="1"/>
        <v>38</v>
      </c>
      <c r="O37" s="11">
        <f t="shared" si="2"/>
        <v>722</v>
      </c>
      <c r="P37">
        <f>HLOOKUP(TEXT(B37,"MMM"),'Monthly_Targets '!$A$1:$M$11, MATCH(Sales_Enriched!E37,'Monthly_Targets '!$A$1:$A$11,0),FALSE)</f>
        <v>668800</v>
      </c>
      <c r="Q37" t="str">
        <f t="shared" si="3"/>
        <v>Low Discount</v>
      </c>
      <c r="R37" t="str">
        <f t="shared" si="4"/>
        <v>Poor</v>
      </c>
    </row>
    <row r="38" spans="1:18" x14ac:dyDescent="0.3">
      <c r="A38" s="2" t="s">
        <v>407</v>
      </c>
      <c r="B38" s="19">
        <v>45203</v>
      </c>
      <c r="C38" s="2" t="s">
        <v>30</v>
      </c>
      <c r="D38" s="2" t="s">
        <v>262</v>
      </c>
      <c r="E38" s="2" t="s">
        <v>170</v>
      </c>
      <c r="F38" s="2">
        <v>8</v>
      </c>
      <c r="G38" s="2">
        <v>5</v>
      </c>
      <c r="H38" t="str">
        <f>INDEX(Products!$B:$B,MATCH(Sales_Enriched!C38,Products!$A:$A,0))</f>
        <v>Amul Gold Milk 1L</v>
      </c>
      <c r="I38" t="str">
        <f>INDEX(Products!$C:$C, MATCH(Sales_Enriched!C38,Products!$A:$A,0))</f>
        <v>Dairy</v>
      </c>
      <c r="J38" s="11">
        <f>INDEX(Products!$F:$F, MATCH(Sales_Enriched!C38,Products!$A:$A,0))</f>
        <v>68</v>
      </c>
      <c r="K38" t="str">
        <f>INDEX(Customers!$B:$B, MATCH(Sales_Enriched!D38,Customers!$A:$A,0))</f>
        <v>Kiran Reddy</v>
      </c>
      <c r="L38" t="str">
        <f>INDEX(Customers!$C:$C, MATCH(Sales_Enriched!D38,Customers!$A:$A,0))</f>
        <v>Mumbai</v>
      </c>
      <c r="M38" s="11">
        <f t="shared" si="0"/>
        <v>544</v>
      </c>
      <c r="N38" s="11">
        <f t="shared" si="1"/>
        <v>27.200000000000003</v>
      </c>
      <c r="O38" s="11">
        <f t="shared" si="2"/>
        <v>516.79999999999995</v>
      </c>
      <c r="P38">
        <f>HLOOKUP(TEXT(B38,"MMM"),'Monthly_Targets '!$A$1:$M$11, MATCH(Sales_Enriched!E38,'Monthly_Targets '!$A$1:$A$11,0),FALSE)</f>
        <v>429000</v>
      </c>
      <c r="Q38" t="str">
        <f t="shared" si="3"/>
        <v>Low Discount</v>
      </c>
      <c r="R38" t="str">
        <f t="shared" si="4"/>
        <v>Poor</v>
      </c>
    </row>
    <row r="39" spans="1:18" x14ac:dyDescent="0.3">
      <c r="A39" s="3" t="s">
        <v>409</v>
      </c>
      <c r="B39" s="20">
        <v>45169</v>
      </c>
      <c r="C39" s="3" t="s">
        <v>75</v>
      </c>
      <c r="D39" s="3" t="s">
        <v>212</v>
      </c>
      <c r="E39" s="3" t="s">
        <v>126</v>
      </c>
      <c r="F39" s="3">
        <v>2</v>
      </c>
      <c r="G39" s="3">
        <v>10</v>
      </c>
      <c r="H39" t="str">
        <f>INDEX(Products!$B:$B,MATCH(Sales_Enriched!C39,Products!$A:$A,0))</f>
        <v>Nike T-Shirt</v>
      </c>
      <c r="I39" t="str">
        <f>INDEX(Products!$C:$C, MATCH(Sales_Enriched!C39,Products!$A:$A,0))</f>
        <v>Apparel</v>
      </c>
      <c r="J39" s="11">
        <f>INDEX(Products!$F:$F, MATCH(Sales_Enriched!C39,Products!$A:$A,0))</f>
        <v>1299</v>
      </c>
      <c r="K39" t="str">
        <f>INDEX(Customers!$B:$B, MATCH(Sales_Enriched!D39,Customers!$A:$A,0))</f>
        <v>Arjun Patel</v>
      </c>
      <c r="L39" t="str">
        <f>INDEX(Customers!$C:$C, MATCH(Sales_Enriched!D39,Customers!$A:$A,0))</f>
        <v>Bangalore</v>
      </c>
      <c r="M39" s="11">
        <f t="shared" si="0"/>
        <v>2598</v>
      </c>
      <c r="N39" s="11">
        <f t="shared" si="1"/>
        <v>259.8</v>
      </c>
      <c r="O39" s="11">
        <f t="shared" si="2"/>
        <v>2338.1999999999998</v>
      </c>
      <c r="P39">
        <f>HLOOKUP(TEXT(B39,"MMM"),'Monthly_Targets '!$A$1:$M$11, MATCH(Sales_Enriched!E39,'Monthly_Targets '!$A$1:$A$11,0),FALSE)</f>
        <v>442000</v>
      </c>
      <c r="Q39" t="str">
        <f t="shared" si="3"/>
        <v>Low Discount</v>
      </c>
      <c r="R39" t="str">
        <f t="shared" si="4"/>
        <v>Poor</v>
      </c>
    </row>
    <row r="40" spans="1:18" x14ac:dyDescent="0.3">
      <c r="A40" s="2" t="s">
        <v>411</v>
      </c>
      <c r="B40" s="19">
        <v>45108</v>
      </c>
      <c r="C40" s="2" t="s">
        <v>75</v>
      </c>
      <c r="D40" s="2" t="s">
        <v>242</v>
      </c>
      <c r="E40" s="2" t="s">
        <v>159</v>
      </c>
      <c r="F40" s="2">
        <v>1</v>
      </c>
      <c r="G40" s="2">
        <v>0</v>
      </c>
      <c r="H40" t="str">
        <f>INDEX(Products!$B:$B,MATCH(Sales_Enriched!C40,Products!$A:$A,0))</f>
        <v>Nike T-Shirt</v>
      </c>
      <c r="I40" t="str">
        <f>INDEX(Products!$C:$C, MATCH(Sales_Enriched!C40,Products!$A:$A,0))</f>
        <v>Apparel</v>
      </c>
      <c r="J40" s="11">
        <f>INDEX(Products!$F:$F, MATCH(Sales_Enriched!C40,Products!$A:$A,0))</f>
        <v>1299</v>
      </c>
      <c r="K40" t="str">
        <f>INDEX(Customers!$B:$B, MATCH(Sales_Enriched!D40,Customers!$A:$A,0))</f>
        <v>Pooja Verma</v>
      </c>
      <c r="L40" t="str">
        <f>INDEX(Customers!$C:$C, MATCH(Sales_Enriched!D40,Customers!$A:$A,0))</f>
        <v>Bangalore</v>
      </c>
      <c r="M40" s="11">
        <f t="shared" si="0"/>
        <v>1299</v>
      </c>
      <c r="N40" s="11">
        <f t="shared" si="1"/>
        <v>0</v>
      </c>
      <c r="O40" s="11">
        <f t="shared" si="2"/>
        <v>1299</v>
      </c>
      <c r="P40">
        <f>HLOOKUP(TEXT(B40,"MMM"),'Monthly_Targets '!$A$1:$M$11, MATCH(Sales_Enriched!E40,'Monthly_Targets '!$A$1:$A$11,0),FALSE)</f>
        <v>336100</v>
      </c>
      <c r="Q40" t="str">
        <f t="shared" si="3"/>
        <v>No Discount</v>
      </c>
      <c r="R40" t="str">
        <f t="shared" si="4"/>
        <v>Poor</v>
      </c>
    </row>
    <row r="41" spans="1:18" x14ac:dyDescent="0.3">
      <c r="A41" s="3" t="s">
        <v>413</v>
      </c>
      <c r="B41" s="20">
        <v>44958</v>
      </c>
      <c r="C41" s="3" t="s">
        <v>69</v>
      </c>
      <c r="D41" s="3" t="s">
        <v>230</v>
      </c>
      <c r="E41" s="3" t="s">
        <v>126</v>
      </c>
      <c r="F41" s="3">
        <v>4</v>
      </c>
      <c r="G41" s="3">
        <v>5</v>
      </c>
      <c r="H41" t="str">
        <f>INDEX(Products!$B:$B,MATCH(Sales_Enriched!C41,Products!$A:$A,0))</f>
        <v>Levis Jeans</v>
      </c>
      <c r="I41" t="str">
        <f>INDEX(Products!$C:$C, MATCH(Sales_Enriched!C41,Products!$A:$A,0))</f>
        <v>Apparel</v>
      </c>
      <c r="J41" s="11">
        <f>INDEX(Products!$F:$F, MATCH(Sales_Enriched!C41,Products!$A:$A,0))</f>
        <v>2499</v>
      </c>
      <c r="K41" t="str">
        <f>INDEX(Customers!$B:$B, MATCH(Sales_Enriched!D41,Customers!$A:$A,0))</f>
        <v>Manish Joshi</v>
      </c>
      <c r="L41" t="str">
        <f>INDEX(Customers!$C:$C, MATCH(Sales_Enriched!D41,Customers!$A:$A,0))</f>
        <v>Delhi</v>
      </c>
      <c r="M41" s="11">
        <f t="shared" si="0"/>
        <v>9996</v>
      </c>
      <c r="N41" s="11">
        <f t="shared" si="1"/>
        <v>499.8</v>
      </c>
      <c r="O41" s="11">
        <f t="shared" si="2"/>
        <v>9496.2000000000007</v>
      </c>
      <c r="P41">
        <f>HLOOKUP(TEXT(B41,"MMM"),'Monthly_Targets '!$A$1:$M$11, MATCH(Sales_Enriched!E41,'Monthly_Targets '!$A$1:$A$11,0),FALSE)</f>
        <v>457600</v>
      </c>
      <c r="Q41" t="str">
        <f t="shared" si="3"/>
        <v>Low Discount</v>
      </c>
      <c r="R41" t="str">
        <f t="shared" si="4"/>
        <v>Poor</v>
      </c>
    </row>
    <row r="42" spans="1:18" x14ac:dyDescent="0.3">
      <c r="A42" s="2" t="s">
        <v>415</v>
      </c>
      <c r="B42" s="19">
        <v>45024</v>
      </c>
      <c r="C42" s="2" t="s">
        <v>96</v>
      </c>
      <c r="D42" s="2" t="s">
        <v>246</v>
      </c>
      <c r="E42" s="2" t="s">
        <v>131</v>
      </c>
      <c r="F42" s="2">
        <v>7</v>
      </c>
      <c r="G42" s="2">
        <v>0</v>
      </c>
      <c r="H42" t="str">
        <f>INDEX(Products!$B:$B,MATCH(Sales_Enriched!C42,Products!$A:$A,0))</f>
        <v>Maggi Noodles 12pk</v>
      </c>
      <c r="I42" t="str">
        <f>INDEX(Products!$C:$C, MATCH(Sales_Enriched!C42,Products!$A:$A,0))</f>
        <v>Grocery</v>
      </c>
      <c r="J42" s="11">
        <f>INDEX(Products!$F:$F, MATCH(Sales_Enriched!C42,Products!$A:$A,0))</f>
        <v>180</v>
      </c>
      <c r="K42" t="str">
        <f>INDEX(Customers!$B:$B, MATCH(Sales_Enriched!D42,Customers!$A:$A,0))</f>
        <v>Arun Banerjee</v>
      </c>
      <c r="L42" t="str">
        <f>INDEX(Customers!$C:$C, MATCH(Sales_Enriched!D42,Customers!$A:$A,0))</f>
        <v>Kolkata</v>
      </c>
      <c r="M42" s="11">
        <f t="shared" si="0"/>
        <v>1260</v>
      </c>
      <c r="N42" s="11">
        <f t="shared" si="1"/>
        <v>0</v>
      </c>
      <c r="O42" s="11">
        <f t="shared" si="2"/>
        <v>1260</v>
      </c>
      <c r="P42">
        <f>HLOOKUP(TEXT(B42,"MMM"),'Monthly_Targets '!$A$1:$M$11, MATCH(Sales_Enriched!E42,'Monthly_Targets '!$A$1:$A$11,0),FALSE)</f>
        <v>828000</v>
      </c>
      <c r="Q42" t="str">
        <f t="shared" si="3"/>
        <v>No Discount</v>
      </c>
      <c r="R42" t="str">
        <f t="shared" si="4"/>
        <v>Poor</v>
      </c>
    </row>
    <row r="43" spans="1:18" x14ac:dyDescent="0.3">
      <c r="A43" s="3" t="s">
        <v>417</v>
      </c>
      <c r="B43" s="20">
        <v>45069</v>
      </c>
      <c r="C43" s="3" t="s">
        <v>80</v>
      </c>
      <c r="D43" s="3" t="s">
        <v>217</v>
      </c>
      <c r="E43" s="3" t="s">
        <v>126</v>
      </c>
      <c r="F43" s="3">
        <v>8</v>
      </c>
      <c r="G43" s="3">
        <v>20</v>
      </c>
      <c r="H43" t="str">
        <f>INDEX(Products!$B:$B,MATCH(Sales_Enriched!C43,Products!$A:$A,0))</f>
        <v>Prestige Cooker 5L</v>
      </c>
      <c r="I43" t="str">
        <f>INDEX(Products!$C:$C, MATCH(Sales_Enriched!C43,Products!$A:$A,0))</f>
        <v>Kitchenware</v>
      </c>
      <c r="J43" s="11">
        <f>INDEX(Products!$F:$F, MATCH(Sales_Enriched!C43,Products!$A:$A,0))</f>
        <v>1850</v>
      </c>
      <c r="K43" t="str">
        <f>INDEX(Customers!$B:$B, MATCH(Sales_Enriched!D43,Customers!$A:$A,0))</f>
        <v>Kavitha Kumar</v>
      </c>
      <c r="L43" t="str">
        <f>INDEX(Customers!$C:$C, MATCH(Sales_Enriched!D43,Customers!$A:$A,0))</f>
        <v>Chennai</v>
      </c>
      <c r="M43" s="11">
        <f t="shared" si="0"/>
        <v>14800</v>
      </c>
      <c r="N43" s="11">
        <f t="shared" si="1"/>
        <v>2960</v>
      </c>
      <c r="O43" s="11">
        <f t="shared" si="2"/>
        <v>11840</v>
      </c>
      <c r="P43">
        <f>HLOOKUP(TEXT(B43,"MMM"),'Monthly_Targets '!$A$1:$M$11, MATCH(Sales_Enriched!E43,'Monthly_Targets '!$A$1:$A$11,0),FALSE)</f>
        <v>478400</v>
      </c>
      <c r="Q43" t="str">
        <f t="shared" si="3"/>
        <v>High Discount</v>
      </c>
      <c r="R43" t="str">
        <f t="shared" si="4"/>
        <v>Poor</v>
      </c>
    </row>
    <row r="44" spans="1:18" x14ac:dyDescent="0.3">
      <c r="A44" s="2" t="s">
        <v>419</v>
      </c>
      <c r="B44" s="19">
        <v>44977</v>
      </c>
      <c r="C44" s="2" t="s">
        <v>14</v>
      </c>
      <c r="D44" s="2" t="s">
        <v>258</v>
      </c>
      <c r="E44" s="2" t="s">
        <v>119</v>
      </c>
      <c r="F44" s="2">
        <v>2</v>
      </c>
      <c r="G44" s="2">
        <v>5</v>
      </c>
      <c r="H44" t="str">
        <f>INDEX(Products!$B:$B,MATCH(Sales_Enriched!C44,Products!$A:$A,0))</f>
        <v>Toor Dal 1kg</v>
      </c>
      <c r="I44" t="str">
        <f>INDEX(Products!$C:$C, MATCH(Sales_Enriched!C44,Products!$A:$A,0))</f>
        <v>Grocery</v>
      </c>
      <c r="J44" s="11">
        <f>INDEX(Products!$F:$F, MATCH(Sales_Enriched!C44,Products!$A:$A,0))</f>
        <v>145</v>
      </c>
      <c r="K44" t="str">
        <f>INDEX(Customers!$B:$B, MATCH(Sales_Enriched!D44,Customers!$A:$A,0))</f>
        <v>Sudha Sharma</v>
      </c>
      <c r="L44" t="str">
        <f>INDEX(Customers!$C:$C, MATCH(Sales_Enriched!D44,Customers!$A:$A,0))</f>
        <v>Bangalore</v>
      </c>
      <c r="M44" s="11">
        <f t="shared" si="0"/>
        <v>290</v>
      </c>
      <c r="N44" s="11">
        <f t="shared" si="1"/>
        <v>14.5</v>
      </c>
      <c r="O44" s="11">
        <f t="shared" si="2"/>
        <v>275.5</v>
      </c>
      <c r="P44">
        <f>HLOOKUP(TEXT(B44,"MMM"),'Monthly_Targets '!$A$1:$M$11, MATCH(Sales_Enriched!E44,'Monthly_Targets '!$A$1:$A$11,0),FALSE)</f>
        <v>748000</v>
      </c>
      <c r="Q44" t="str">
        <f t="shared" si="3"/>
        <v>Low Discount</v>
      </c>
      <c r="R44" t="str">
        <f t="shared" si="4"/>
        <v>Poor</v>
      </c>
    </row>
    <row r="45" spans="1:18" x14ac:dyDescent="0.3">
      <c r="A45" s="3" t="s">
        <v>421</v>
      </c>
      <c r="B45" s="20">
        <v>45012</v>
      </c>
      <c r="C45" s="3" t="s">
        <v>75</v>
      </c>
      <c r="D45" s="3" t="s">
        <v>250</v>
      </c>
      <c r="E45" s="3" t="s">
        <v>159</v>
      </c>
      <c r="F45" s="3">
        <v>4</v>
      </c>
      <c r="G45" s="3">
        <v>10</v>
      </c>
      <c r="H45" t="str">
        <f>INDEX(Products!$B:$B,MATCH(Sales_Enriched!C45,Products!$A:$A,0))</f>
        <v>Nike T-Shirt</v>
      </c>
      <c r="I45" t="str">
        <f>INDEX(Products!$C:$C, MATCH(Sales_Enriched!C45,Products!$A:$A,0))</f>
        <v>Apparel</v>
      </c>
      <c r="J45" s="11">
        <f>INDEX(Products!$F:$F, MATCH(Sales_Enriched!C45,Products!$A:$A,0))</f>
        <v>1299</v>
      </c>
      <c r="K45" t="str">
        <f>INDEX(Customers!$B:$B, MATCH(Sales_Enriched!D45,Customers!$A:$A,0))</f>
        <v>Rekha Pillai</v>
      </c>
      <c r="L45" t="str">
        <f>INDEX(Customers!$C:$C, MATCH(Sales_Enriched!D45,Customers!$A:$A,0))</f>
        <v>Chennai</v>
      </c>
      <c r="M45" s="11">
        <f t="shared" si="0"/>
        <v>5196</v>
      </c>
      <c r="N45" s="11">
        <f t="shared" si="1"/>
        <v>519.6</v>
      </c>
      <c r="O45" s="11">
        <f t="shared" si="2"/>
        <v>4676.3999999999996</v>
      </c>
      <c r="P45">
        <f>HLOOKUP(TEXT(B45,"MMM"),'Monthly_Targets '!$A$1:$M$11, MATCH(Sales_Enriched!E45,'Monthly_Targets '!$A$1:$A$11,0),FALSE)</f>
        <v>389500</v>
      </c>
      <c r="Q45" t="str">
        <f t="shared" si="3"/>
        <v>Low Discount</v>
      </c>
      <c r="R45" t="str">
        <f t="shared" si="4"/>
        <v>Poor</v>
      </c>
    </row>
    <row r="46" spans="1:18" x14ac:dyDescent="0.3">
      <c r="A46" s="2" t="s">
        <v>423</v>
      </c>
      <c r="B46" s="19">
        <v>44957</v>
      </c>
      <c r="C46" s="2" t="s">
        <v>33</v>
      </c>
      <c r="D46" s="2" t="s">
        <v>238</v>
      </c>
      <c r="E46" s="2" t="s">
        <v>119</v>
      </c>
      <c r="F46" s="2">
        <v>7</v>
      </c>
      <c r="G46" s="2">
        <v>5</v>
      </c>
      <c r="H46" t="str">
        <f>INDEX(Products!$B:$B,MATCH(Sales_Enriched!C46,Products!$A:$A,0))</f>
        <v>Samsung 43 Smart TV</v>
      </c>
      <c r="I46" t="str">
        <f>INDEX(Products!$C:$C, MATCH(Sales_Enriched!C46,Products!$A:$A,0))</f>
        <v>Electronics</v>
      </c>
      <c r="J46" s="11">
        <f>INDEX(Products!$F:$F, MATCH(Sales_Enriched!C46,Products!$A:$A,0))</f>
        <v>32999</v>
      </c>
      <c r="K46" t="str">
        <f>INDEX(Customers!$B:$B, MATCH(Sales_Enriched!D46,Customers!$A:$A,0))</f>
        <v>Sanjay Iyer</v>
      </c>
      <c r="L46" t="str">
        <f>INDEX(Customers!$C:$C, MATCH(Sales_Enriched!D46,Customers!$A:$A,0))</f>
        <v>Chennai</v>
      </c>
      <c r="M46" s="11">
        <f t="shared" si="0"/>
        <v>230993</v>
      </c>
      <c r="N46" s="11">
        <f t="shared" si="1"/>
        <v>11549.650000000001</v>
      </c>
      <c r="O46" s="11">
        <f t="shared" si="2"/>
        <v>219443.35</v>
      </c>
      <c r="P46">
        <f>HLOOKUP(TEXT(B46,"MMM"),'Monthly_Targets '!$A$1:$M$11, MATCH(Sales_Enriched!E46,'Monthly_Targets '!$A$1:$A$11,0),FALSE)</f>
        <v>722500</v>
      </c>
      <c r="Q46" t="str">
        <f t="shared" si="3"/>
        <v>Low Discount</v>
      </c>
      <c r="R46" t="str">
        <f t="shared" si="4"/>
        <v>Poor</v>
      </c>
    </row>
    <row r="47" spans="1:18" x14ac:dyDescent="0.3">
      <c r="A47" s="3" t="s">
        <v>425</v>
      </c>
      <c r="B47" s="20">
        <v>45159</v>
      </c>
      <c r="C47" s="3" t="s">
        <v>55</v>
      </c>
      <c r="D47" s="3" t="s">
        <v>242</v>
      </c>
      <c r="E47" s="3" t="s">
        <v>163</v>
      </c>
      <c r="F47" s="3">
        <v>8</v>
      </c>
      <c r="G47" s="3">
        <v>0</v>
      </c>
      <c r="H47" t="str">
        <f>INDEX(Products!$B:$B,MATCH(Sales_Enriched!C47,Products!$A:$A,0))</f>
        <v>Dettol Handwash 250ml</v>
      </c>
      <c r="I47" t="str">
        <f>INDEX(Products!$C:$C, MATCH(Sales_Enriched!C47,Products!$A:$A,0))</f>
        <v>Home Care</v>
      </c>
      <c r="J47" s="11">
        <f>INDEX(Products!$F:$F, MATCH(Sales_Enriched!C47,Products!$A:$A,0))</f>
        <v>95</v>
      </c>
      <c r="K47" t="str">
        <f>INDEX(Customers!$B:$B, MATCH(Sales_Enriched!D47,Customers!$A:$A,0))</f>
        <v>Pooja Verma</v>
      </c>
      <c r="L47" t="str">
        <f>INDEX(Customers!$C:$C, MATCH(Sales_Enriched!D47,Customers!$A:$A,0))</f>
        <v>Bangalore</v>
      </c>
      <c r="M47" s="11">
        <f t="shared" si="0"/>
        <v>760</v>
      </c>
      <c r="N47" s="11">
        <f t="shared" si="1"/>
        <v>0</v>
      </c>
      <c r="O47" s="11">
        <f t="shared" si="2"/>
        <v>760</v>
      </c>
      <c r="P47">
        <f>HLOOKUP(TEXT(B47,"MMM"),'Monthly_Targets '!$A$1:$M$11, MATCH(Sales_Enriched!E47,'Monthly_Targets '!$A$1:$A$11,0),FALSE)</f>
        <v>603500</v>
      </c>
      <c r="Q47" t="str">
        <f t="shared" si="3"/>
        <v>No Discount</v>
      </c>
      <c r="R47" t="str">
        <f t="shared" si="4"/>
        <v>Poor</v>
      </c>
    </row>
    <row r="48" spans="1:18" x14ac:dyDescent="0.3">
      <c r="A48" s="2" t="s">
        <v>427</v>
      </c>
      <c r="B48" s="19">
        <v>45024</v>
      </c>
      <c r="C48" s="2" t="s">
        <v>55</v>
      </c>
      <c r="D48" s="2" t="s">
        <v>212</v>
      </c>
      <c r="E48" s="2" t="s">
        <v>119</v>
      </c>
      <c r="F48" s="2">
        <v>10</v>
      </c>
      <c r="G48" s="2">
        <v>20</v>
      </c>
      <c r="H48" t="str">
        <f>INDEX(Products!$B:$B,MATCH(Sales_Enriched!C48,Products!$A:$A,0))</f>
        <v>Dettol Handwash 250ml</v>
      </c>
      <c r="I48" t="str">
        <f>INDEX(Products!$C:$C, MATCH(Sales_Enriched!C48,Products!$A:$A,0))</f>
        <v>Home Care</v>
      </c>
      <c r="J48" s="11">
        <f>INDEX(Products!$F:$F, MATCH(Sales_Enriched!C48,Products!$A:$A,0))</f>
        <v>95</v>
      </c>
      <c r="K48" t="str">
        <f>INDEX(Customers!$B:$B, MATCH(Sales_Enriched!D48,Customers!$A:$A,0))</f>
        <v>Arjun Patel</v>
      </c>
      <c r="L48" t="str">
        <f>INDEX(Customers!$C:$C, MATCH(Sales_Enriched!D48,Customers!$A:$A,0))</f>
        <v>Bangalore</v>
      </c>
      <c r="M48" s="11">
        <f t="shared" si="0"/>
        <v>950</v>
      </c>
      <c r="N48" s="11">
        <f t="shared" si="1"/>
        <v>190</v>
      </c>
      <c r="O48" s="11">
        <f t="shared" si="2"/>
        <v>760</v>
      </c>
      <c r="P48">
        <f>HLOOKUP(TEXT(B48,"MMM"),'Monthly_Targets '!$A$1:$M$11, MATCH(Sales_Enriched!E48,'Monthly_Targets '!$A$1:$A$11,0),FALSE)</f>
        <v>765000</v>
      </c>
      <c r="Q48" t="str">
        <f t="shared" si="3"/>
        <v>High Discount</v>
      </c>
      <c r="R48" t="str">
        <f t="shared" si="4"/>
        <v>Poor</v>
      </c>
    </row>
    <row r="49" spans="1:18" x14ac:dyDescent="0.3">
      <c r="A49" s="3" t="s">
        <v>428</v>
      </c>
      <c r="B49" s="20">
        <v>44958</v>
      </c>
      <c r="C49" s="3" t="s">
        <v>60</v>
      </c>
      <c r="D49" s="3" t="s">
        <v>188</v>
      </c>
      <c r="E49" s="3" t="s">
        <v>119</v>
      </c>
      <c r="F49" s="3">
        <v>10</v>
      </c>
      <c r="G49" s="3">
        <v>15</v>
      </c>
      <c r="H49" t="str">
        <f>INDEX(Products!$B:$B,MATCH(Sales_Enriched!C49,Products!$A:$A,0))</f>
        <v>Lakme Lipstick</v>
      </c>
      <c r="I49" t="str">
        <f>INDEX(Products!$C:$C, MATCH(Sales_Enriched!C49,Products!$A:$A,0))</f>
        <v>Beauty</v>
      </c>
      <c r="J49" s="11">
        <f>INDEX(Products!$F:$F, MATCH(Sales_Enriched!C49,Products!$A:$A,0))</f>
        <v>350</v>
      </c>
      <c r="K49" t="str">
        <f>INDEX(Customers!$B:$B, MATCH(Sales_Enriched!D49,Customers!$A:$A,0))</f>
        <v>Priya Singh</v>
      </c>
      <c r="L49" t="str">
        <f>INDEX(Customers!$C:$C, MATCH(Sales_Enriched!D49,Customers!$A:$A,0))</f>
        <v>Mumbai</v>
      </c>
      <c r="M49" s="11">
        <f t="shared" si="0"/>
        <v>3500</v>
      </c>
      <c r="N49" s="11">
        <f t="shared" si="1"/>
        <v>525</v>
      </c>
      <c r="O49" s="11">
        <f t="shared" si="2"/>
        <v>2975</v>
      </c>
      <c r="P49">
        <f>HLOOKUP(TEXT(B49,"MMM"),'Monthly_Targets '!$A$1:$M$11, MATCH(Sales_Enriched!E49,'Monthly_Targets '!$A$1:$A$11,0),FALSE)</f>
        <v>748000</v>
      </c>
      <c r="Q49" t="str">
        <f t="shared" si="3"/>
        <v>High Discount</v>
      </c>
      <c r="R49" t="str">
        <f t="shared" si="4"/>
        <v>Poor</v>
      </c>
    </row>
    <row r="50" spans="1:18" x14ac:dyDescent="0.3">
      <c r="A50" s="2" t="s">
        <v>429</v>
      </c>
      <c r="B50" s="19">
        <v>45184</v>
      </c>
      <c r="C50" s="2" t="s">
        <v>91</v>
      </c>
      <c r="D50" s="2" t="s">
        <v>208</v>
      </c>
      <c r="E50" s="2" t="s">
        <v>119</v>
      </c>
      <c r="F50" s="2">
        <v>9</v>
      </c>
      <c r="G50" s="2">
        <v>0</v>
      </c>
      <c r="H50" t="str">
        <f>INDEX(Products!$B:$B,MATCH(Sales_Enriched!C50,Products!$A:$A,0))</f>
        <v>Parle-G Biscuits 1kg</v>
      </c>
      <c r="I50" t="str">
        <f>INDEX(Products!$C:$C, MATCH(Sales_Enriched!C50,Products!$A:$A,0))</f>
        <v>Grocery</v>
      </c>
      <c r="J50" s="11">
        <f>INDEX(Products!$F:$F, MATCH(Sales_Enriched!C50,Products!$A:$A,0))</f>
        <v>95</v>
      </c>
      <c r="K50" t="str">
        <f>INDEX(Customers!$B:$B, MATCH(Sales_Enriched!D50,Customers!$A:$A,0))</f>
        <v>Deepa Menon</v>
      </c>
      <c r="L50" t="str">
        <f>INDEX(Customers!$C:$C, MATCH(Sales_Enriched!D50,Customers!$A:$A,0))</f>
        <v>Mumbai</v>
      </c>
      <c r="M50" s="11">
        <f t="shared" si="0"/>
        <v>855</v>
      </c>
      <c r="N50" s="11">
        <f t="shared" si="1"/>
        <v>0</v>
      </c>
      <c r="O50" s="11">
        <f t="shared" si="2"/>
        <v>855</v>
      </c>
      <c r="P50">
        <f>HLOOKUP(TEXT(B50,"MMM"),'Monthly_Targets '!$A$1:$M$11, MATCH(Sales_Enriched!E50,'Monthly_Targets '!$A$1:$A$11,0),FALSE)</f>
        <v>807500</v>
      </c>
      <c r="Q50" t="str">
        <f t="shared" si="3"/>
        <v>No Discount</v>
      </c>
      <c r="R50" t="str">
        <f t="shared" si="4"/>
        <v>Poor</v>
      </c>
    </row>
    <row r="51" spans="1:18" x14ac:dyDescent="0.3">
      <c r="A51" s="3" t="s">
        <v>431</v>
      </c>
      <c r="B51" s="20">
        <v>45022</v>
      </c>
      <c r="C51" s="3" t="s">
        <v>19</v>
      </c>
      <c r="D51" s="3" t="s">
        <v>266</v>
      </c>
      <c r="E51" s="3" t="s">
        <v>126</v>
      </c>
      <c r="F51" s="3">
        <v>4</v>
      </c>
      <c r="G51" s="3">
        <v>10</v>
      </c>
      <c r="H51" t="str">
        <f>INDEX(Products!$B:$B,MATCH(Sales_Enriched!C51,Products!$A:$A,0))</f>
        <v>Sunflower Oil 1L</v>
      </c>
      <c r="I51" t="str">
        <f>INDEX(Products!$C:$C, MATCH(Sales_Enriched!C51,Products!$A:$A,0))</f>
        <v>Grocery</v>
      </c>
      <c r="J51" s="11">
        <f>INDEX(Products!$F:$F, MATCH(Sales_Enriched!C51,Products!$A:$A,0))</f>
        <v>165</v>
      </c>
      <c r="K51" t="str">
        <f>INDEX(Customers!$B:$B, MATCH(Sales_Enriched!D51,Customers!$A:$A,0))</f>
        <v>Lalita Das</v>
      </c>
      <c r="L51" t="str">
        <f>INDEX(Customers!$C:$C, MATCH(Sales_Enriched!D51,Customers!$A:$A,0))</f>
        <v>Kolkata</v>
      </c>
      <c r="M51" s="11">
        <f t="shared" si="0"/>
        <v>660</v>
      </c>
      <c r="N51" s="11">
        <f t="shared" si="1"/>
        <v>66</v>
      </c>
      <c r="O51" s="11">
        <f t="shared" si="2"/>
        <v>594</v>
      </c>
      <c r="P51">
        <f>HLOOKUP(TEXT(B51,"MMM"),'Monthly_Targets '!$A$1:$M$11, MATCH(Sales_Enriched!E51,'Monthly_Targets '!$A$1:$A$11,0),FALSE)</f>
        <v>468000</v>
      </c>
      <c r="Q51" t="str">
        <f t="shared" si="3"/>
        <v>Low Discount</v>
      </c>
      <c r="R51" t="str">
        <f t="shared" si="4"/>
        <v>Poor</v>
      </c>
    </row>
    <row r="52" spans="1:18" x14ac:dyDescent="0.3">
      <c r="A52" s="2" t="s">
        <v>433</v>
      </c>
      <c r="B52" s="19">
        <v>44988</v>
      </c>
      <c r="C52" s="2" t="s">
        <v>101</v>
      </c>
      <c r="D52" s="2" t="s">
        <v>217</v>
      </c>
      <c r="E52" s="2" t="s">
        <v>170</v>
      </c>
      <c r="F52" s="2">
        <v>10</v>
      </c>
      <c r="G52" s="2">
        <v>0</v>
      </c>
      <c r="H52" t="str">
        <f>INDEX(Products!$B:$B,MATCH(Sales_Enriched!C52,Products!$A:$A,0))</f>
        <v>Colgate Toothpaste 200g</v>
      </c>
      <c r="I52" t="str">
        <f>INDEX(Products!$C:$C, MATCH(Sales_Enriched!C52,Products!$A:$A,0))</f>
        <v>Home Care</v>
      </c>
      <c r="J52" s="11">
        <f>INDEX(Products!$F:$F, MATCH(Sales_Enriched!C52,Products!$A:$A,0))</f>
        <v>95</v>
      </c>
      <c r="K52" t="str">
        <f>INDEX(Customers!$B:$B, MATCH(Sales_Enriched!D52,Customers!$A:$A,0))</f>
        <v>Kavitha Kumar</v>
      </c>
      <c r="L52" t="str">
        <f>INDEX(Customers!$C:$C, MATCH(Sales_Enriched!D52,Customers!$A:$A,0))</f>
        <v>Chennai</v>
      </c>
      <c r="M52" s="11">
        <f t="shared" si="0"/>
        <v>950</v>
      </c>
      <c r="N52" s="11">
        <f t="shared" si="1"/>
        <v>0</v>
      </c>
      <c r="O52" s="11">
        <f t="shared" si="2"/>
        <v>950</v>
      </c>
      <c r="P52">
        <f>HLOOKUP(TEXT(B52,"MMM"),'Monthly_Targets '!$A$1:$M$11, MATCH(Sales_Enriched!E52,'Monthly_Targets '!$A$1:$A$11,0),FALSE)</f>
        <v>370500</v>
      </c>
      <c r="Q52" t="str">
        <f t="shared" si="3"/>
        <v>No Discount</v>
      </c>
      <c r="R52" t="str">
        <f t="shared" si="4"/>
        <v>Poor</v>
      </c>
    </row>
    <row r="53" spans="1:18" x14ac:dyDescent="0.3">
      <c r="A53" s="3" t="s">
        <v>434</v>
      </c>
      <c r="B53" s="20">
        <v>45244</v>
      </c>
      <c r="C53" s="3" t="s">
        <v>19</v>
      </c>
      <c r="D53" s="3" t="s">
        <v>242</v>
      </c>
      <c r="E53" s="3" t="s">
        <v>170</v>
      </c>
      <c r="F53" s="3">
        <v>10</v>
      </c>
      <c r="G53" s="3">
        <v>20</v>
      </c>
      <c r="H53" t="str">
        <f>INDEX(Products!$B:$B,MATCH(Sales_Enriched!C53,Products!$A:$A,0))</f>
        <v>Sunflower Oil 1L</v>
      </c>
      <c r="I53" t="str">
        <f>INDEX(Products!$C:$C, MATCH(Sales_Enriched!C53,Products!$A:$A,0))</f>
        <v>Grocery</v>
      </c>
      <c r="J53" s="11">
        <f>INDEX(Products!$F:$F, MATCH(Sales_Enriched!C53,Products!$A:$A,0))</f>
        <v>165</v>
      </c>
      <c r="K53" t="str">
        <f>INDEX(Customers!$B:$B, MATCH(Sales_Enriched!D53,Customers!$A:$A,0))</f>
        <v>Pooja Verma</v>
      </c>
      <c r="L53" t="str">
        <f>INDEX(Customers!$C:$C, MATCH(Sales_Enriched!D53,Customers!$A:$A,0))</f>
        <v>Bangalore</v>
      </c>
      <c r="M53" s="11">
        <f t="shared" si="0"/>
        <v>1650</v>
      </c>
      <c r="N53" s="11">
        <f t="shared" si="1"/>
        <v>330</v>
      </c>
      <c r="O53" s="11">
        <f t="shared" si="2"/>
        <v>1320</v>
      </c>
      <c r="P53">
        <f>HLOOKUP(TEXT(B53,"MMM"),'Monthly_Targets '!$A$1:$M$11, MATCH(Sales_Enriched!E53,'Monthly_Targets '!$A$1:$A$11,0),FALSE)</f>
        <v>468000</v>
      </c>
      <c r="Q53" t="str">
        <f t="shared" si="3"/>
        <v>High Discount</v>
      </c>
      <c r="R53" t="str">
        <f t="shared" si="4"/>
        <v>Poor</v>
      </c>
    </row>
    <row r="54" spans="1:18" x14ac:dyDescent="0.3">
      <c r="A54" s="2" t="s">
        <v>436</v>
      </c>
      <c r="B54" s="19">
        <v>45088</v>
      </c>
      <c r="C54" s="2" t="s">
        <v>49</v>
      </c>
      <c r="D54" s="2" t="s">
        <v>212</v>
      </c>
      <c r="E54" s="2" t="s">
        <v>149</v>
      </c>
      <c r="F54" s="2">
        <v>4</v>
      </c>
      <c r="G54" s="2">
        <v>5</v>
      </c>
      <c r="H54" t="str">
        <f>INDEX(Products!$B:$B,MATCH(Sales_Enriched!C54,Products!$A:$A,0))</f>
        <v>Surf Excel 1kg</v>
      </c>
      <c r="I54" t="str">
        <f>INDEX(Products!$C:$C, MATCH(Sales_Enriched!C54,Products!$A:$A,0))</f>
        <v>Home Care</v>
      </c>
      <c r="J54" s="11">
        <f>INDEX(Products!$F:$F, MATCH(Sales_Enriched!C54,Products!$A:$A,0))</f>
        <v>210</v>
      </c>
      <c r="K54" t="str">
        <f>INDEX(Customers!$B:$B, MATCH(Sales_Enriched!D54,Customers!$A:$A,0))</f>
        <v>Arjun Patel</v>
      </c>
      <c r="L54" t="str">
        <f>INDEX(Customers!$C:$C, MATCH(Sales_Enriched!D54,Customers!$A:$A,0))</f>
        <v>Bangalore</v>
      </c>
      <c r="M54" s="11">
        <f t="shared" si="0"/>
        <v>840</v>
      </c>
      <c r="N54" s="11">
        <f t="shared" si="1"/>
        <v>42</v>
      </c>
      <c r="O54" s="11">
        <f t="shared" si="2"/>
        <v>798</v>
      </c>
      <c r="P54">
        <f>HLOOKUP(TEXT(B54,"MMM"),'Monthly_Targets '!$A$1:$M$11, MATCH(Sales_Enriched!E54,'Monthly_Targets '!$A$1:$A$11,0),FALSE)</f>
        <v>369600</v>
      </c>
      <c r="Q54" t="str">
        <f t="shared" si="3"/>
        <v>Low Discount</v>
      </c>
      <c r="R54" t="str">
        <f t="shared" si="4"/>
        <v>Poor</v>
      </c>
    </row>
    <row r="55" spans="1:18" x14ac:dyDescent="0.3">
      <c r="A55" s="3" t="s">
        <v>438</v>
      </c>
      <c r="B55" s="20">
        <v>45129</v>
      </c>
      <c r="C55" s="3" t="s">
        <v>30</v>
      </c>
      <c r="D55" s="3" t="s">
        <v>225</v>
      </c>
      <c r="E55" s="3" t="s">
        <v>159</v>
      </c>
      <c r="F55" s="3">
        <v>6</v>
      </c>
      <c r="G55" s="3">
        <v>0</v>
      </c>
      <c r="H55" t="str">
        <f>INDEX(Products!$B:$B,MATCH(Sales_Enriched!C55,Products!$A:$A,0))</f>
        <v>Amul Gold Milk 1L</v>
      </c>
      <c r="I55" t="str">
        <f>INDEX(Products!$C:$C, MATCH(Sales_Enriched!C55,Products!$A:$A,0))</f>
        <v>Dairy</v>
      </c>
      <c r="J55" s="11">
        <f>INDEX(Products!$F:$F, MATCH(Sales_Enriched!C55,Products!$A:$A,0))</f>
        <v>68</v>
      </c>
      <c r="K55" t="str">
        <f>INDEX(Customers!$B:$B, MATCH(Sales_Enriched!D55,Customers!$A:$A,0))</f>
        <v>Rupa Devi</v>
      </c>
      <c r="L55" t="str">
        <f>INDEX(Customers!$C:$C, MATCH(Sales_Enriched!D55,Customers!$A:$A,0))</f>
        <v>Kolkata</v>
      </c>
      <c r="M55" s="11">
        <f t="shared" si="0"/>
        <v>408</v>
      </c>
      <c r="N55" s="11">
        <f t="shared" si="1"/>
        <v>0</v>
      </c>
      <c r="O55" s="11">
        <f t="shared" si="2"/>
        <v>408</v>
      </c>
      <c r="P55">
        <f>HLOOKUP(TEXT(B55,"MMM"),'Monthly_Targets '!$A$1:$M$11, MATCH(Sales_Enriched!E55,'Monthly_Targets '!$A$1:$A$11,0),FALSE)</f>
        <v>336100</v>
      </c>
      <c r="Q55" t="str">
        <f t="shared" si="3"/>
        <v>No Discount</v>
      </c>
      <c r="R55" t="str">
        <f t="shared" si="4"/>
        <v>Poor</v>
      </c>
    </row>
    <row r="56" spans="1:18" x14ac:dyDescent="0.3">
      <c r="A56" s="2" t="s">
        <v>440</v>
      </c>
      <c r="B56" s="19">
        <v>44931</v>
      </c>
      <c r="C56" s="2" t="s">
        <v>80</v>
      </c>
      <c r="D56" s="2" t="s">
        <v>266</v>
      </c>
      <c r="E56" s="2" t="s">
        <v>170</v>
      </c>
      <c r="F56" s="2">
        <v>2</v>
      </c>
      <c r="G56" s="2">
        <v>0</v>
      </c>
      <c r="H56" t="str">
        <f>INDEX(Products!$B:$B,MATCH(Sales_Enriched!C56,Products!$A:$A,0))</f>
        <v>Prestige Cooker 5L</v>
      </c>
      <c r="I56" t="str">
        <f>INDEX(Products!$C:$C, MATCH(Sales_Enriched!C56,Products!$A:$A,0))</f>
        <v>Kitchenware</v>
      </c>
      <c r="J56" s="11">
        <f>INDEX(Products!$F:$F, MATCH(Sales_Enriched!C56,Products!$A:$A,0))</f>
        <v>1850</v>
      </c>
      <c r="K56" t="str">
        <f>INDEX(Customers!$B:$B, MATCH(Sales_Enriched!D56,Customers!$A:$A,0))</f>
        <v>Lalita Das</v>
      </c>
      <c r="L56" t="str">
        <f>INDEX(Customers!$C:$C, MATCH(Sales_Enriched!D56,Customers!$A:$A,0))</f>
        <v>Kolkata</v>
      </c>
      <c r="M56" s="11">
        <f t="shared" si="0"/>
        <v>3700</v>
      </c>
      <c r="N56" s="11">
        <f t="shared" si="1"/>
        <v>0</v>
      </c>
      <c r="O56" s="11">
        <f t="shared" si="2"/>
        <v>3700</v>
      </c>
      <c r="P56">
        <f>HLOOKUP(TEXT(B56,"MMM"),'Monthly_Targets '!$A$1:$M$11, MATCH(Sales_Enriched!E56,'Monthly_Targets '!$A$1:$A$11,0),FALSE)</f>
        <v>331500</v>
      </c>
      <c r="Q56" t="str">
        <f t="shared" si="3"/>
        <v>No Discount</v>
      </c>
      <c r="R56" t="str">
        <f t="shared" si="4"/>
        <v>Poor</v>
      </c>
    </row>
    <row r="57" spans="1:18" x14ac:dyDescent="0.3">
      <c r="A57" s="3" t="s">
        <v>442</v>
      </c>
      <c r="B57" s="20">
        <v>45202</v>
      </c>
      <c r="C57" s="3" t="s">
        <v>39</v>
      </c>
      <c r="D57" s="3" t="s">
        <v>254</v>
      </c>
      <c r="E57" s="3" t="s">
        <v>142</v>
      </c>
      <c r="F57" s="3">
        <v>3</v>
      </c>
      <c r="G57" s="3">
        <v>10</v>
      </c>
      <c r="H57" t="str">
        <f>INDEX(Products!$B:$B,MATCH(Sales_Enriched!C57,Products!$A:$A,0))</f>
        <v>boAt Rockerz 450</v>
      </c>
      <c r="I57" t="str">
        <f>INDEX(Products!$C:$C, MATCH(Sales_Enriched!C57,Products!$A:$A,0))</f>
        <v>Electronics</v>
      </c>
      <c r="J57" s="11">
        <f>INDEX(Products!$F:$F, MATCH(Sales_Enriched!C57,Products!$A:$A,0))</f>
        <v>1499</v>
      </c>
      <c r="K57" t="str">
        <f>INDEX(Customers!$B:$B, MATCH(Sales_Enriched!D57,Customers!$A:$A,0))</f>
        <v>Dinesh Yadav</v>
      </c>
      <c r="L57" t="str">
        <f>INDEX(Customers!$C:$C, MATCH(Sales_Enriched!D57,Customers!$A:$A,0))</f>
        <v>Delhi</v>
      </c>
      <c r="M57" s="11">
        <f t="shared" si="0"/>
        <v>4497</v>
      </c>
      <c r="N57" s="11">
        <f t="shared" si="1"/>
        <v>449.70000000000005</v>
      </c>
      <c r="O57" s="11">
        <f t="shared" si="2"/>
        <v>4047.3</v>
      </c>
      <c r="P57">
        <f>HLOOKUP(TEXT(B57,"MMM"),'Monthly_Targets '!$A$1:$M$11, MATCH(Sales_Enriched!E57,'Monthly_Targets '!$A$1:$A$11,0),FALSE)</f>
        <v>836000</v>
      </c>
      <c r="Q57" t="str">
        <f t="shared" si="3"/>
        <v>Low Discount</v>
      </c>
      <c r="R57" t="str">
        <f t="shared" si="4"/>
        <v>Poor</v>
      </c>
    </row>
    <row r="58" spans="1:18" x14ac:dyDescent="0.3">
      <c r="A58" s="2" t="s">
        <v>444</v>
      </c>
      <c r="B58" s="19">
        <v>44962</v>
      </c>
      <c r="C58" s="2" t="s">
        <v>44</v>
      </c>
      <c r="D58" s="2" t="s">
        <v>234</v>
      </c>
      <c r="E58" s="2" t="s">
        <v>142</v>
      </c>
      <c r="F58" s="2">
        <v>3</v>
      </c>
      <c r="G58" s="2">
        <v>15</v>
      </c>
      <c r="H58" t="str">
        <f>INDEX(Products!$B:$B,MATCH(Sales_Enriched!C58,Products!$A:$A,0))</f>
        <v>Philips LED Bulb 9W</v>
      </c>
      <c r="I58" t="str">
        <f>INDEX(Products!$C:$C, MATCH(Sales_Enriched!C58,Products!$A:$A,0))</f>
        <v>Electronics</v>
      </c>
      <c r="J58" s="11">
        <f>INDEX(Products!$F:$F, MATCH(Sales_Enriched!C58,Products!$A:$A,0))</f>
        <v>129</v>
      </c>
      <c r="K58" t="str">
        <f>INDEX(Customers!$B:$B, MATCH(Sales_Enriched!D58,Customers!$A:$A,0))</f>
        <v>Anita Kapoor</v>
      </c>
      <c r="L58" t="str">
        <f>INDEX(Customers!$C:$C, MATCH(Sales_Enriched!D58,Customers!$A:$A,0))</f>
        <v>Mumbai</v>
      </c>
      <c r="M58" s="11">
        <f t="shared" si="0"/>
        <v>387</v>
      </c>
      <c r="N58" s="11">
        <f t="shared" si="1"/>
        <v>58.05</v>
      </c>
      <c r="O58" s="11">
        <f t="shared" si="2"/>
        <v>328.95</v>
      </c>
      <c r="P58">
        <f>HLOOKUP(TEXT(B58,"MMM"),'Monthly_Targets '!$A$1:$M$11, MATCH(Sales_Enriched!E58,'Monthly_Targets '!$A$1:$A$11,0),FALSE)</f>
        <v>668800</v>
      </c>
      <c r="Q58" t="str">
        <f t="shared" si="3"/>
        <v>High Discount</v>
      </c>
      <c r="R58" t="str">
        <f t="shared" si="4"/>
        <v>Poor</v>
      </c>
    </row>
    <row r="59" spans="1:18" x14ac:dyDescent="0.3">
      <c r="A59" s="3" t="s">
        <v>446</v>
      </c>
      <c r="B59" s="20">
        <v>45205</v>
      </c>
      <c r="C59" s="3" t="s">
        <v>55</v>
      </c>
      <c r="D59" s="3" t="s">
        <v>266</v>
      </c>
      <c r="E59" s="3" t="s">
        <v>163</v>
      </c>
      <c r="F59" s="3">
        <v>1</v>
      </c>
      <c r="G59" s="3">
        <v>20</v>
      </c>
      <c r="H59" t="str">
        <f>INDEX(Products!$B:$B,MATCH(Sales_Enriched!C59,Products!$A:$A,0))</f>
        <v>Dettol Handwash 250ml</v>
      </c>
      <c r="I59" t="str">
        <f>INDEX(Products!$C:$C, MATCH(Sales_Enriched!C59,Products!$A:$A,0))</f>
        <v>Home Care</v>
      </c>
      <c r="J59" s="11">
        <f>INDEX(Products!$F:$F, MATCH(Sales_Enriched!C59,Products!$A:$A,0))</f>
        <v>95</v>
      </c>
      <c r="K59" t="str">
        <f>INDEX(Customers!$B:$B, MATCH(Sales_Enriched!D59,Customers!$A:$A,0))</f>
        <v>Lalita Das</v>
      </c>
      <c r="L59" t="str">
        <f>INDEX(Customers!$C:$C, MATCH(Sales_Enriched!D59,Customers!$A:$A,0))</f>
        <v>Kolkata</v>
      </c>
      <c r="M59" s="11">
        <f t="shared" si="0"/>
        <v>95</v>
      </c>
      <c r="N59" s="11">
        <f t="shared" si="1"/>
        <v>19</v>
      </c>
      <c r="O59" s="11">
        <f t="shared" si="2"/>
        <v>76</v>
      </c>
      <c r="P59">
        <f>HLOOKUP(TEXT(B59,"MMM"),'Monthly_Targets '!$A$1:$M$11, MATCH(Sales_Enriched!E59,'Monthly_Targets '!$A$1:$A$11,0),FALSE)</f>
        <v>781000</v>
      </c>
      <c r="Q59" t="str">
        <f t="shared" si="3"/>
        <v>High Discount</v>
      </c>
      <c r="R59" t="str">
        <f t="shared" si="4"/>
        <v>Poor</v>
      </c>
    </row>
    <row r="60" spans="1:18" x14ac:dyDescent="0.3">
      <c r="A60" s="2" t="s">
        <v>448</v>
      </c>
      <c r="B60" s="19">
        <v>45080</v>
      </c>
      <c r="C60" s="2" t="s">
        <v>24</v>
      </c>
      <c r="D60" s="2" t="s">
        <v>204</v>
      </c>
      <c r="E60" s="2" t="s">
        <v>142</v>
      </c>
      <c r="F60" s="2">
        <v>2</v>
      </c>
      <c r="G60" s="2">
        <v>0</v>
      </c>
      <c r="H60" t="str">
        <f>INDEX(Products!$B:$B,MATCH(Sales_Enriched!C60,Products!$A:$A,0))</f>
        <v>Amul Butter 500g</v>
      </c>
      <c r="I60" t="str">
        <f>INDEX(Products!$C:$C, MATCH(Sales_Enriched!C60,Products!$A:$A,0))</f>
        <v>Dairy</v>
      </c>
      <c r="J60" s="11">
        <f>INDEX(Products!$F:$F, MATCH(Sales_Enriched!C60,Products!$A:$A,0))</f>
        <v>275</v>
      </c>
      <c r="K60" t="str">
        <f>INDEX(Customers!$B:$B, MATCH(Sales_Enriched!D60,Customers!$A:$A,0))</f>
        <v>Rohan Gupta</v>
      </c>
      <c r="L60" t="str">
        <f>INDEX(Customers!$C:$C, MATCH(Sales_Enriched!D60,Customers!$A:$A,0))</f>
        <v>Delhi</v>
      </c>
      <c r="M60" s="11">
        <f t="shared" si="0"/>
        <v>550</v>
      </c>
      <c r="N60" s="11">
        <f t="shared" si="1"/>
        <v>0</v>
      </c>
      <c r="O60" s="11">
        <f t="shared" si="2"/>
        <v>550</v>
      </c>
      <c r="P60">
        <f>HLOOKUP(TEXT(B60,"MMM"),'Monthly_Targets '!$A$1:$M$11, MATCH(Sales_Enriched!E60,'Monthly_Targets '!$A$1:$A$11,0),FALSE)</f>
        <v>668800</v>
      </c>
      <c r="Q60" t="str">
        <f t="shared" si="3"/>
        <v>No Discount</v>
      </c>
      <c r="R60" t="str">
        <f t="shared" si="4"/>
        <v>Poor</v>
      </c>
    </row>
    <row r="61" spans="1:18" x14ac:dyDescent="0.3">
      <c r="A61" s="3" t="s">
        <v>450</v>
      </c>
      <c r="B61" s="20">
        <v>45210</v>
      </c>
      <c r="C61" s="3" t="s">
        <v>30</v>
      </c>
      <c r="D61" s="3" t="s">
        <v>221</v>
      </c>
      <c r="E61" s="3" t="s">
        <v>142</v>
      </c>
      <c r="F61" s="3">
        <v>10</v>
      </c>
      <c r="G61" s="3">
        <v>5</v>
      </c>
      <c r="H61" t="str">
        <f>INDEX(Products!$B:$B,MATCH(Sales_Enriched!C61,Products!$A:$A,0))</f>
        <v>Amul Gold Milk 1L</v>
      </c>
      <c r="I61" t="str">
        <f>INDEX(Products!$C:$C, MATCH(Sales_Enriched!C61,Products!$A:$A,0))</f>
        <v>Dairy</v>
      </c>
      <c r="J61" s="11">
        <f>INDEX(Products!$F:$F, MATCH(Sales_Enriched!C61,Products!$A:$A,0))</f>
        <v>68</v>
      </c>
      <c r="K61" t="str">
        <f>INDEX(Customers!$B:$B, MATCH(Sales_Enriched!D61,Customers!$A:$A,0))</f>
        <v>Suresh Ghosh</v>
      </c>
      <c r="L61" t="str">
        <f>INDEX(Customers!$C:$C, MATCH(Sales_Enriched!D61,Customers!$A:$A,0))</f>
        <v>Kolkata</v>
      </c>
      <c r="M61" s="11">
        <f t="shared" si="0"/>
        <v>680</v>
      </c>
      <c r="N61" s="11">
        <f t="shared" si="1"/>
        <v>34</v>
      </c>
      <c r="O61" s="11">
        <f t="shared" si="2"/>
        <v>646</v>
      </c>
      <c r="P61">
        <f>HLOOKUP(TEXT(B61,"MMM"),'Monthly_Targets '!$A$1:$M$11, MATCH(Sales_Enriched!E61,'Monthly_Targets '!$A$1:$A$11,0),FALSE)</f>
        <v>836000</v>
      </c>
      <c r="Q61" t="str">
        <f t="shared" si="3"/>
        <v>Low Discount</v>
      </c>
      <c r="R61" t="str">
        <f t="shared" si="4"/>
        <v>Poor</v>
      </c>
    </row>
    <row r="62" spans="1:18" x14ac:dyDescent="0.3">
      <c r="A62" s="2" t="s">
        <v>452</v>
      </c>
      <c r="B62" s="19">
        <v>45102</v>
      </c>
      <c r="C62" s="2" t="s">
        <v>39</v>
      </c>
      <c r="D62" s="2" t="s">
        <v>221</v>
      </c>
      <c r="E62" s="2" t="s">
        <v>163</v>
      </c>
      <c r="F62" s="2">
        <v>8</v>
      </c>
      <c r="G62" s="2">
        <v>5</v>
      </c>
      <c r="H62" t="str">
        <f>INDEX(Products!$B:$B,MATCH(Sales_Enriched!C62,Products!$A:$A,0))</f>
        <v>boAt Rockerz 450</v>
      </c>
      <c r="I62" t="str">
        <f>INDEX(Products!$C:$C, MATCH(Sales_Enriched!C62,Products!$A:$A,0))</f>
        <v>Electronics</v>
      </c>
      <c r="J62" s="11">
        <f>INDEX(Products!$F:$F, MATCH(Sales_Enriched!C62,Products!$A:$A,0))</f>
        <v>1499</v>
      </c>
      <c r="K62" t="str">
        <f>INDEX(Customers!$B:$B, MATCH(Sales_Enriched!D62,Customers!$A:$A,0))</f>
        <v>Suresh Ghosh</v>
      </c>
      <c r="L62" t="str">
        <f>INDEX(Customers!$C:$C, MATCH(Sales_Enriched!D62,Customers!$A:$A,0))</f>
        <v>Kolkata</v>
      </c>
      <c r="M62" s="11">
        <f t="shared" si="0"/>
        <v>11992</v>
      </c>
      <c r="N62" s="11">
        <f t="shared" si="1"/>
        <v>599.6</v>
      </c>
      <c r="O62" s="11">
        <f t="shared" si="2"/>
        <v>11392.4</v>
      </c>
      <c r="P62">
        <f>HLOOKUP(TEXT(B62,"MMM"),'Monthly_Targets '!$A$1:$M$11, MATCH(Sales_Enriched!E62,'Monthly_Targets '!$A$1:$A$11,0),FALSE)</f>
        <v>624800</v>
      </c>
      <c r="Q62" t="str">
        <f t="shared" si="3"/>
        <v>Low Discount</v>
      </c>
      <c r="R62" t="str">
        <f t="shared" si="4"/>
        <v>Poor</v>
      </c>
    </row>
    <row r="63" spans="1:18" x14ac:dyDescent="0.3">
      <c r="A63" s="3" t="s">
        <v>454</v>
      </c>
      <c r="B63" s="20">
        <v>44953</v>
      </c>
      <c r="C63" s="3" t="s">
        <v>19</v>
      </c>
      <c r="D63" s="3" t="s">
        <v>242</v>
      </c>
      <c r="E63" s="3" t="s">
        <v>142</v>
      </c>
      <c r="F63" s="3">
        <v>1</v>
      </c>
      <c r="G63" s="3">
        <v>0</v>
      </c>
      <c r="H63" t="str">
        <f>INDEX(Products!$B:$B,MATCH(Sales_Enriched!C63,Products!$A:$A,0))</f>
        <v>Sunflower Oil 1L</v>
      </c>
      <c r="I63" t="str">
        <f>INDEX(Products!$C:$C, MATCH(Sales_Enriched!C63,Products!$A:$A,0))</f>
        <v>Grocery</v>
      </c>
      <c r="J63" s="11">
        <f>INDEX(Products!$F:$F, MATCH(Sales_Enriched!C63,Products!$A:$A,0))</f>
        <v>165</v>
      </c>
      <c r="K63" t="str">
        <f>INDEX(Customers!$B:$B, MATCH(Sales_Enriched!D63,Customers!$A:$A,0))</f>
        <v>Pooja Verma</v>
      </c>
      <c r="L63" t="str">
        <f>INDEX(Customers!$C:$C, MATCH(Sales_Enriched!D63,Customers!$A:$A,0))</f>
        <v>Bangalore</v>
      </c>
      <c r="M63" s="11">
        <f t="shared" si="0"/>
        <v>165</v>
      </c>
      <c r="N63" s="11">
        <f t="shared" si="1"/>
        <v>0</v>
      </c>
      <c r="O63" s="11">
        <f t="shared" si="2"/>
        <v>165</v>
      </c>
      <c r="P63">
        <f>HLOOKUP(TEXT(B63,"MMM"),'Monthly_Targets '!$A$1:$M$11, MATCH(Sales_Enriched!E63,'Monthly_Targets '!$A$1:$A$11,0),FALSE)</f>
        <v>646000</v>
      </c>
      <c r="Q63" t="str">
        <f t="shared" si="3"/>
        <v>No Discount</v>
      </c>
      <c r="R63" t="str">
        <f t="shared" si="4"/>
        <v>Poor</v>
      </c>
    </row>
    <row r="64" spans="1:18" x14ac:dyDescent="0.3">
      <c r="A64" s="2" t="s">
        <v>456</v>
      </c>
      <c r="B64" s="19">
        <v>45097</v>
      </c>
      <c r="C64" s="2" t="s">
        <v>30</v>
      </c>
      <c r="D64" s="2" t="s">
        <v>221</v>
      </c>
      <c r="E64" s="2" t="s">
        <v>131</v>
      </c>
      <c r="F64" s="2">
        <v>8</v>
      </c>
      <c r="G64" s="2">
        <v>20</v>
      </c>
      <c r="H64" t="str">
        <f>INDEX(Products!$B:$B,MATCH(Sales_Enriched!C64,Products!$A:$A,0))</f>
        <v>Amul Gold Milk 1L</v>
      </c>
      <c r="I64" t="str">
        <f>INDEX(Products!$C:$C, MATCH(Sales_Enriched!C64,Products!$A:$A,0))</f>
        <v>Dairy</v>
      </c>
      <c r="J64" s="11">
        <f>INDEX(Products!$F:$F, MATCH(Sales_Enriched!C64,Products!$A:$A,0))</f>
        <v>68</v>
      </c>
      <c r="K64" t="str">
        <f>INDEX(Customers!$B:$B, MATCH(Sales_Enriched!D64,Customers!$A:$A,0))</f>
        <v>Suresh Ghosh</v>
      </c>
      <c r="L64" t="str">
        <f>INDEX(Customers!$C:$C, MATCH(Sales_Enriched!D64,Customers!$A:$A,0))</f>
        <v>Kolkata</v>
      </c>
      <c r="M64" s="11">
        <f t="shared" si="0"/>
        <v>544</v>
      </c>
      <c r="N64" s="11">
        <f t="shared" si="1"/>
        <v>108.80000000000001</v>
      </c>
      <c r="O64" s="11">
        <f t="shared" si="2"/>
        <v>435.2</v>
      </c>
      <c r="P64">
        <f>HLOOKUP(TEXT(B64,"MMM"),'Monthly_Targets '!$A$1:$M$11, MATCH(Sales_Enriched!E64,'Monthly_Targets '!$A$1:$A$11,0),FALSE)</f>
        <v>809600</v>
      </c>
      <c r="Q64" t="str">
        <f t="shared" si="3"/>
        <v>High Discount</v>
      </c>
      <c r="R64" t="str">
        <f t="shared" si="4"/>
        <v>Poor</v>
      </c>
    </row>
    <row r="65" spans="1:18" x14ac:dyDescent="0.3">
      <c r="A65" s="3" t="s">
        <v>458</v>
      </c>
      <c r="B65" s="20">
        <v>45288</v>
      </c>
      <c r="C65" s="3" t="s">
        <v>75</v>
      </c>
      <c r="D65" s="3" t="s">
        <v>258</v>
      </c>
      <c r="E65" s="3" t="s">
        <v>119</v>
      </c>
      <c r="F65" s="3">
        <v>2</v>
      </c>
      <c r="G65" s="3">
        <v>0</v>
      </c>
      <c r="H65" t="str">
        <f>INDEX(Products!$B:$B,MATCH(Sales_Enriched!C65,Products!$A:$A,0))</f>
        <v>Nike T-Shirt</v>
      </c>
      <c r="I65" t="str">
        <f>INDEX(Products!$C:$C, MATCH(Sales_Enriched!C65,Products!$A:$A,0))</f>
        <v>Apparel</v>
      </c>
      <c r="J65" s="11">
        <f>INDEX(Products!$F:$F, MATCH(Sales_Enriched!C65,Products!$A:$A,0))</f>
        <v>1299</v>
      </c>
      <c r="K65" t="str">
        <f>INDEX(Customers!$B:$B, MATCH(Sales_Enriched!D65,Customers!$A:$A,0))</f>
        <v>Sudha Sharma</v>
      </c>
      <c r="L65" t="str">
        <f>INDEX(Customers!$C:$C, MATCH(Sales_Enriched!D65,Customers!$A:$A,0))</f>
        <v>Bangalore</v>
      </c>
      <c r="M65" s="11">
        <f t="shared" si="0"/>
        <v>2598</v>
      </c>
      <c r="N65" s="11">
        <f t="shared" si="1"/>
        <v>0</v>
      </c>
      <c r="O65" s="11">
        <f t="shared" si="2"/>
        <v>2598</v>
      </c>
      <c r="P65">
        <f>HLOOKUP(TEXT(B65,"MMM"),'Monthly_Targets '!$A$1:$M$11, MATCH(Sales_Enriched!E65,'Monthly_Targets '!$A$1:$A$11,0),FALSE)</f>
        <v>1105000</v>
      </c>
      <c r="Q65" t="str">
        <f t="shared" si="3"/>
        <v>No Discount</v>
      </c>
      <c r="R65" t="str">
        <f t="shared" si="4"/>
        <v>Poor</v>
      </c>
    </row>
    <row r="66" spans="1:18" x14ac:dyDescent="0.3">
      <c r="A66" s="2" t="s">
        <v>460</v>
      </c>
      <c r="B66" s="19">
        <v>45280</v>
      </c>
      <c r="C66" s="2" t="s">
        <v>30</v>
      </c>
      <c r="D66" s="2" t="s">
        <v>258</v>
      </c>
      <c r="E66" s="2" t="s">
        <v>119</v>
      </c>
      <c r="F66" s="2">
        <v>6</v>
      </c>
      <c r="G66" s="2">
        <v>20</v>
      </c>
      <c r="H66" t="str">
        <f>INDEX(Products!$B:$B,MATCH(Sales_Enriched!C66,Products!$A:$A,0))</f>
        <v>Amul Gold Milk 1L</v>
      </c>
      <c r="I66" t="str">
        <f>INDEX(Products!$C:$C, MATCH(Sales_Enriched!C66,Products!$A:$A,0))</f>
        <v>Dairy</v>
      </c>
      <c r="J66" s="11">
        <f>INDEX(Products!$F:$F, MATCH(Sales_Enriched!C66,Products!$A:$A,0))</f>
        <v>68</v>
      </c>
      <c r="K66" t="str">
        <f>INDEX(Customers!$B:$B, MATCH(Sales_Enriched!D66,Customers!$A:$A,0))</f>
        <v>Sudha Sharma</v>
      </c>
      <c r="L66" t="str">
        <f>INDEX(Customers!$C:$C, MATCH(Sales_Enriched!D66,Customers!$A:$A,0))</f>
        <v>Bangalore</v>
      </c>
      <c r="M66" s="11">
        <f t="shared" si="0"/>
        <v>408</v>
      </c>
      <c r="N66" s="11">
        <f t="shared" si="1"/>
        <v>81.600000000000009</v>
      </c>
      <c r="O66" s="11">
        <f t="shared" si="2"/>
        <v>326.39999999999998</v>
      </c>
      <c r="P66">
        <f>HLOOKUP(TEXT(B66,"MMM"),'Monthly_Targets '!$A$1:$M$11, MATCH(Sales_Enriched!E66,'Monthly_Targets '!$A$1:$A$11,0),FALSE)</f>
        <v>1105000</v>
      </c>
      <c r="Q66" t="str">
        <f t="shared" si="3"/>
        <v>High Discount</v>
      </c>
      <c r="R66" t="str">
        <f t="shared" si="4"/>
        <v>Poor</v>
      </c>
    </row>
    <row r="67" spans="1:18" x14ac:dyDescent="0.3">
      <c r="A67" s="3" t="s">
        <v>462</v>
      </c>
      <c r="B67" s="20">
        <v>45002</v>
      </c>
      <c r="C67" s="3" t="s">
        <v>75</v>
      </c>
      <c r="D67" s="3" t="s">
        <v>204</v>
      </c>
      <c r="E67" s="3" t="s">
        <v>119</v>
      </c>
      <c r="F67" s="3">
        <v>5</v>
      </c>
      <c r="G67" s="3">
        <v>10</v>
      </c>
      <c r="H67" t="str">
        <f>INDEX(Products!$B:$B,MATCH(Sales_Enriched!C67,Products!$A:$A,0))</f>
        <v>Nike T-Shirt</v>
      </c>
      <c r="I67" t="str">
        <f>INDEX(Products!$C:$C, MATCH(Sales_Enriched!C67,Products!$A:$A,0))</f>
        <v>Apparel</v>
      </c>
      <c r="J67" s="11">
        <f>INDEX(Products!$F:$F, MATCH(Sales_Enriched!C67,Products!$A:$A,0))</f>
        <v>1299</v>
      </c>
      <c r="K67" t="str">
        <f>INDEX(Customers!$B:$B, MATCH(Sales_Enriched!D67,Customers!$A:$A,0))</f>
        <v>Rohan Gupta</v>
      </c>
      <c r="L67" t="str">
        <f>INDEX(Customers!$C:$C, MATCH(Sales_Enriched!D67,Customers!$A:$A,0))</f>
        <v>Delhi</v>
      </c>
      <c r="M67" s="11">
        <f t="shared" ref="M67:M130" si="5">J67*F67</f>
        <v>6495</v>
      </c>
      <c r="N67" s="11">
        <f t="shared" ref="N67:N130" si="6">M67*(G67/100)</f>
        <v>649.5</v>
      </c>
      <c r="O67" s="11">
        <f t="shared" ref="O67:O130" si="7">M67-N67</f>
        <v>5845.5</v>
      </c>
      <c r="P67">
        <f>HLOOKUP(TEXT(B67,"MMM"),'Monthly_Targets '!$A$1:$M$11, MATCH(Sales_Enriched!E67,'Monthly_Targets '!$A$1:$A$11,0),FALSE)</f>
        <v>807500</v>
      </c>
      <c r="Q67" t="str">
        <f t="shared" ref="Q67:Q130" si="8">IF(G67=0, "No Discount",IF(G67&lt;= 10, "Low Discount", "High Discount"))</f>
        <v>Low Discount</v>
      </c>
      <c r="R67" t="str">
        <f t="shared" ref="R67:R130" si="9">IF(O67&gt;=P67*0.9, "Excellent", IF(O67&gt;=P67*0.7, "Good", IF(O67&gt;=P67*0.5, "Average", "Poor")))</f>
        <v>Poor</v>
      </c>
    </row>
    <row r="68" spans="1:18" x14ac:dyDescent="0.3">
      <c r="A68" s="2" t="s">
        <v>464</v>
      </c>
      <c r="B68" s="19">
        <v>44947</v>
      </c>
      <c r="C68" s="2" t="s">
        <v>65</v>
      </c>
      <c r="D68" s="2" t="s">
        <v>212</v>
      </c>
      <c r="E68" s="2" t="s">
        <v>138</v>
      </c>
      <c r="F68" s="2">
        <v>2</v>
      </c>
      <c r="G68" s="2">
        <v>10</v>
      </c>
      <c r="H68" t="str">
        <f>INDEX(Products!$B:$B,MATCH(Sales_Enriched!C68,Products!$A:$A,0))</f>
        <v>Dove Shampoo 340ml</v>
      </c>
      <c r="I68" t="str">
        <f>INDEX(Products!$C:$C, MATCH(Sales_Enriched!C68,Products!$A:$A,0))</f>
        <v>Beauty</v>
      </c>
      <c r="J68" s="11">
        <f>INDEX(Products!$F:$F, MATCH(Sales_Enriched!C68,Products!$A:$A,0))</f>
        <v>299</v>
      </c>
      <c r="K68" t="str">
        <f>INDEX(Customers!$B:$B, MATCH(Sales_Enriched!D68,Customers!$A:$A,0))</f>
        <v>Arjun Patel</v>
      </c>
      <c r="L68" t="str">
        <f>INDEX(Customers!$C:$C, MATCH(Sales_Enriched!D68,Customers!$A:$A,0))</f>
        <v>Bangalore</v>
      </c>
      <c r="M68" s="11">
        <f t="shared" si="5"/>
        <v>598</v>
      </c>
      <c r="N68" s="11">
        <f t="shared" si="6"/>
        <v>59.800000000000004</v>
      </c>
      <c r="O68" s="11">
        <f t="shared" si="7"/>
        <v>538.20000000000005</v>
      </c>
      <c r="P68">
        <f>HLOOKUP(TEXT(B68,"MMM"),'Monthly_Targets '!$A$1:$M$11, MATCH(Sales_Enriched!E68,'Monthly_Targets '!$A$1:$A$11,0),FALSE)</f>
        <v>408000</v>
      </c>
      <c r="Q68" t="str">
        <f t="shared" si="8"/>
        <v>Low Discount</v>
      </c>
      <c r="R68" t="str">
        <f t="shared" si="9"/>
        <v>Poor</v>
      </c>
    </row>
    <row r="69" spans="1:18" x14ac:dyDescent="0.3">
      <c r="A69" s="3" t="s">
        <v>466</v>
      </c>
      <c r="B69" s="20">
        <v>45213</v>
      </c>
      <c r="C69" s="3" t="s">
        <v>75</v>
      </c>
      <c r="D69" s="3" t="s">
        <v>266</v>
      </c>
      <c r="E69" s="3" t="s">
        <v>131</v>
      </c>
      <c r="F69" s="3">
        <v>4</v>
      </c>
      <c r="G69" s="3">
        <v>0</v>
      </c>
      <c r="H69" t="str">
        <f>INDEX(Products!$B:$B,MATCH(Sales_Enriched!C69,Products!$A:$A,0))</f>
        <v>Nike T-Shirt</v>
      </c>
      <c r="I69" t="str">
        <f>INDEX(Products!$C:$C, MATCH(Sales_Enriched!C69,Products!$A:$A,0))</f>
        <v>Apparel</v>
      </c>
      <c r="J69" s="11">
        <f>INDEX(Products!$F:$F, MATCH(Sales_Enriched!C69,Products!$A:$A,0))</f>
        <v>1299</v>
      </c>
      <c r="K69" t="str">
        <f>INDEX(Customers!$B:$B, MATCH(Sales_Enriched!D69,Customers!$A:$A,0))</f>
        <v>Lalita Das</v>
      </c>
      <c r="L69" t="str">
        <f>INDEX(Customers!$C:$C, MATCH(Sales_Enriched!D69,Customers!$A:$A,0))</f>
        <v>Kolkata</v>
      </c>
      <c r="M69" s="11">
        <f t="shared" si="5"/>
        <v>5196</v>
      </c>
      <c r="N69" s="11">
        <f t="shared" si="6"/>
        <v>0</v>
      </c>
      <c r="O69" s="11">
        <f t="shared" si="7"/>
        <v>5196</v>
      </c>
      <c r="P69">
        <f>HLOOKUP(TEXT(B69,"MMM"),'Monthly_Targets '!$A$1:$M$11, MATCH(Sales_Enriched!E69,'Monthly_Targets '!$A$1:$A$11,0),FALSE)</f>
        <v>1012000</v>
      </c>
      <c r="Q69" t="str">
        <f t="shared" si="8"/>
        <v>No Discount</v>
      </c>
      <c r="R69" t="str">
        <f t="shared" si="9"/>
        <v>Poor</v>
      </c>
    </row>
    <row r="70" spans="1:18" x14ac:dyDescent="0.3">
      <c r="A70" s="2" t="s">
        <v>468</v>
      </c>
      <c r="B70" s="19">
        <v>45017</v>
      </c>
      <c r="C70" s="2" t="s">
        <v>75</v>
      </c>
      <c r="D70" s="2" t="s">
        <v>181</v>
      </c>
      <c r="E70" s="2" t="s">
        <v>131</v>
      </c>
      <c r="F70" s="2">
        <v>6</v>
      </c>
      <c r="G70" s="2">
        <v>10</v>
      </c>
      <c r="H70" t="str">
        <f>INDEX(Products!$B:$B,MATCH(Sales_Enriched!C70,Products!$A:$A,0))</f>
        <v>Nike T-Shirt</v>
      </c>
      <c r="I70" t="str">
        <f>INDEX(Products!$C:$C, MATCH(Sales_Enriched!C70,Products!$A:$A,0))</f>
        <v>Apparel</v>
      </c>
      <c r="J70" s="11">
        <f>INDEX(Products!$F:$F, MATCH(Sales_Enriched!C70,Products!$A:$A,0))</f>
        <v>1299</v>
      </c>
      <c r="K70" t="str">
        <f>INDEX(Customers!$B:$B, MATCH(Sales_Enriched!D70,Customers!$A:$A,0))</f>
        <v>Aarav Sharma</v>
      </c>
      <c r="L70" t="str">
        <f>INDEX(Customers!$C:$C, MATCH(Sales_Enriched!D70,Customers!$A:$A,0))</f>
        <v>Delhi</v>
      </c>
      <c r="M70" s="11">
        <f t="shared" si="5"/>
        <v>7794</v>
      </c>
      <c r="N70" s="11">
        <f t="shared" si="6"/>
        <v>779.40000000000009</v>
      </c>
      <c r="O70" s="11">
        <f t="shared" si="7"/>
        <v>7014.6</v>
      </c>
      <c r="P70">
        <f>HLOOKUP(TEXT(B70,"MMM"),'Monthly_Targets '!$A$1:$M$11, MATCH(Sales_Enriched!E70,'Monthly_Targets '!$A$1:$A$11,0),FALSE)</f>
        <v>828000</v>
      </c>
      <c r="Q70" t="str">
        <f t="shared" si="8"/>
        <v>Low Discount</v>
      </c>
      <c r="R70" t="str">
        <f t="shared" si="9"/>
        <v>Poor</v>
      </c>
    </row>
    <row r="71" spans="1:18" x14ac:dyDescent="0.3">
      <c r="A71" s="3" t="s">
        <v>470</v>
      </c>
      <c r="B71" s="20">
        <v>45269</v>
      </c>
      <c r="C71" s="3" t="s">
        <v>44</v>
      </c>
      <c r="D71" s="3" t="s">
        <v>221</v>
      </c>
      <c r="E71" s="3" t="s">
        <v>131</v>
      </c>
      <c r="F71" s="3">
        <v>2</v>
      </c>
      <c r="G71" s="3">
        <v>10</v>
      </c>
      <c r="H71" t="str">
        <f>INDEX(Products!$B:$B,MATCH(Sales_Enriched!C71,Products!$A:$A,0))</f>
        <v>Philips LED Bulb 9W</v>
      </c>
      <c r="I71" t="str">
        <f>INDEX(Products!$C:$C, MATCH(Sales_Enriched!C71,Products!$A:$A,0))</f>
        <v>Electronics</v>
      </c>
      <c r="J71" s="11">
        <f>INDEX(Products!$F:$F, MATCH(Sales_Enriched!C71,Products!$A:$A,0))</f>
        <v>129</v>
      </c>
      <c r="K71" t="str">
        <f>INDEX(Customers!$B:$B, MATCH(Sales_Enriched!D71,Customers!$A:$A,0))</f>
        <v>Suresh Ghosh</v>
      </c>
      <c r="L71" t="str">
        <f>INDEX(Customers!$C:$C, MATCH(Sales_Enriched!D71,Customers!$A:$A,0))</f>
        <v>Kolkata</v>
      </c>
      <c r="M71" s="11">
        <f t="shared" si="5"/>
        <v>258</v>
      </c>
      <c r="N71" s="11">
        <f t="shared" si="6"/>
        <v>25.8</v>
      </c>
      <c r="O71" s="11">
        <f t="shared" si="7"/>
        <v>232.2</v>
      </c>
      <c r="P71">
        <f>HLOOKUP(TEXT(B71,"MMM"),'Monthly_Targets '!$A$1:$M$11, MATCH(Sales_Enriched!E71,'Monthly_Targets '!$A$1:$A$11,0),FALSE)</f>
        <v>1196000</v>
      </c>
      <c r="Q71" t="str">
        <f t="shared" si="8"/>
        <v>Low Discount</v>
      </c>
      <c r="R71" t="str">
        <f t="shared" si="9"/>
        <v>Poor</v>
      </c>
    </row>
    <row r="72" spans="1:18" x14ac:dyDescent="0.3">
      <c r="A72" s="2" t="s">
        <v>472</v>
      </c>
      <c r="B72" s="19">
        <v>44946</v>
      </c>
      <c r="C72" s="2" t="s">
        <v>86</v>
      </c>
      <c r="D72" s="2" t="s">
        <v>217</v>
      </c>
      <c r="E72" s="2" t="s">
        <v>138</v>
      </c>
      <c r="F72" s="2">
        <v>8</v>
      </c>
      <c r="G72" s="2">
        <v>10</v>
      </c>
      <c r="H72" t="str">
        <f>INDEX(Products!$B:$B,MATCH(Sales_Enriched!C72,Products!$A:$A,0))</f>
        <v>Milton Steel Bottle 1L</v>
      </c>
      <c r="I72" t="str">
        <f>INDEX(Products!$C:$C, MATCH(Sales_Enriched!C72,Products!$A:$A,0))</f>
        <v>Kitchenware</v>
      </c>
      <c r="J72" s="11">
        <f>INDEX(Products!$F:$F, MATCH(Sales_Enriched!C72,Products!$A:$A,0))</f>
        <v>599</v>
      </c>
      <c r="K72" t="str">
        <f>INDEX(Customers!$B:$B, MATCH(Sales_Enriched!D72,Customers!$A:$A,0))</f>
        <v>Kavitha Kumar</v>
      </c>
      <c r="L72" t="str">
        <f>INDEX(Customers!$C:$C, MATCH(Sales_Enriched!D72,Customers!$A:$A,0))</f>
        <v>Chennai</v>
      </c>
      <c r="M72" s="11">
        <f t="shared" si="5"/>
        <v>4792</v>
      </c>
      <c r="N72" s="11">
        <f t="shared" si="6"/>
        <v>479.20000000000005</v>
      </c>
      <c r="O72" s="11">
        <f t="shared" si="7"/>
        <v>4312.8</v>
      </c>
      <c r="P72">
        <f>HLOOKUP(TEXT(B72,"MMM"),'Monthly_Targets '!$A$1:$M$11, MATCH(Sales_Enriched!E72,'Monthly_Targets '!$A$1:$A$11,0),FALSE)</f>
        <v>408000</v>
      </c>
      <c r="Q72" t="str">
        <f t="shared" si="8"/>
        <v>Low Discount</v>
      </c>
      <c r="R72" t="str">
        <f t="shared" si="9"/>
        <v>Poor</v>
      </c>
    </row>
    <row r="73" spans="1:18" x14ac:dyDescent="0.3">
      <c r="A73" s="3" t="s">
        <v>474</v>
      </c>
      <c r="B73" s="20">
        <v>45083</v>
      </c>
      <c r="C73" s="3" t="s">
        <v>44</v>
      </c>
      <c r="D73" s="3" t="s">
        <v>217</v>
      </c>
      <c r="E73" s="3" t="s">
        <v>119</v>
      </c>
      <c r="F73" s="3">
        <v>4</v>
      </c>
      <c r="G73" s="3">
        <v>10</v>
      </c>
      <c r="H73" t="str">
        <f>INDEX(Products!$B:$B,MATCH(Sales_Enriched!C73,Products!$A:$A,0))</f>
        <v>Philips LED Bulb 9W</v>
      </c>
      <c r="I73" t="str">
        <f>INDEX(Products!$C:$C, MATCH(Sales_Enriched!C73,Products!$A:$A,0))</f>
        <v>Electronics</v>
      </c>
      <c r="J73" s="11">
        <f>INDEX(Products!$F:$F, MATCH(Sales_Enriched!C73,Products!$A:$A,0))</f>
        <v>129</v>
      </c>
      <c r="K73" t="str">
        <f>INDEX(Customers!$B:$B, MATCH(Sales_Enriched!D73,Customers!$A:$A,0))</f>
        <v>Kavitha Kumar</v>
      </c>
      <c r="L73" t="str">
        <f>INDEX(Customers!$C:$C, MATCH(Sales_Enriched!D73,Customers!$A:$A,0))</f>
        <v>Chennai</v>
      </c>
      <c r="M73" s="11">
        <f t="shared" si="5"/>
        <v>516</v>
      </c>
      <c r="N73" s="11">
        <f t="shared" si="6"/>
        <v>51.6</v>
      </c>
      <c r="O73" s="11">
        <f t="shared" si="7"/>
        <v>464.4</v>
      </c>
      <c r="P73">
        <f>HLOOKUP(TEXT(B73,"MMM"),'Monthly_Targets '!$A$1:$M$11, MATCH(Sales_Enriched!E73,'Monthly_Targets '!$A$1:$A$11,0),FALSE)</f>
        <v>748000</v>
      </c>
      <c r="Q73" t="str">
        <f t="shared" si="8"/>
        <v>Low Discount</v>
      </c>
      <c r="R73" t="str">
        <f t="shared" si="9"/>
        <v>Poor</v>
      </c>
    </row>
    <row r="74" spans="1:18" x14ac:dyDescent="0.3">
      <c r="A74" s="2" t="s">
        <v>476</v>
      </c>
      <c r="B74" s="19">
        <v>45095</v>
      </c>
      <c r="C74" s="2" t="s">
        <v>49</v>
      </c>
      <c r="D74" s="2" t="s">
        <v>195</v>
      </c>
      <c r="E74" s="2" t="s">
        <v>142</v>
      </c>
      <c r="F74" s="2">
        <v>6</v>
      </c>
      <c r="G74" s="2">
        <v>20</v>
      </c>
      <c r="H74" t="str">
        <f>INDEX(Products!$B:$B,MATCH(Sales_Enriched!C74,Products!$A:$A,0))</f>
        <v>Surf Excel 1kg</v>
      </c>
      <c r="I74" t="str">
        <f>INDEX(Products!$C:$C, MATCH(Sales_Enriched!C74,Products!$A:$A,0))</f>
        <v>Home Care</v>
      </c>
      <c r="J74" s="11">
        <f>INDEX(Products!$F:$F, MATCH(Sales_Enriched!C74,Products!$A:$A,0))</f>
        <v>210</v>
      </c>
      <c r="K74" t="str">
        <f>INDEX(Customers!$B:$B, MATCH(Sales_Enriched!D74,Customers!$A:$A,0))</f>
        <v>Vikram Nair</v>
      </c>
      <c r="L74" t="str">
        <f>INDEX(Customers!$C:$C, MATCH(Sales_Enriched!D74,Customers!$A:$A,0))</f>
        <v>Bangalore</v>
      </c>
      <c r="M74" s="11">
        <f t="shared" si="5"/>
        <v>1260</v>
      </c>
      <c r="N74" s="11">
        <f t="shared" si="6"/>
        <v>252</v>
      </c>
      <c r="O74" s="11">
        <f t="shared" si="7"/>
        <v>1008</v>
      </c>
      <c r="P74">
        <f>HLOOKUP(TEXT(B74,"MMM"),'Monthly_Targets '!$A$1:$M$11, MATCH(Sales_Enriched!E74,'Monthly_Targets '!$A$1:$A$11,0),FALSE)</f>
        <v>668800</v>
      </c>
      <c r="Q74" t="str">
        <f t="shared" si="8"/>
        <v>High Discount</v>
      </c>
      <c r="R74" t="str">
        <f t="shared" si="9"/>
        <v>Poor</v>
      </c>
    </row>
    <row r="75" spans="1:18" x14ac:dyDescent="0.3">
      <c r="A75" s="3" t="s">
        <v>478</v>
      </c>
      <c r="B75" s="20">
        <v>45131</v>
      </c>
      <c r="C75" s="3" t="s">
        <v>96</v>
      </c>
      <c r="D75" s="3" t="s">
        <v>230</v>
      </c>
      <c r="E75" s="3" t="s">
        <v>119</v>
      </c>
      <c r="F75" s="3">
        <v>2</v>
      </c>
      <c r="G75" s="3">
        <v>5</v>
      </c>
      <c r="H75" t="str">
        <f>INDEX(Products!$B:$B,MATCH(Sales_Enriched!C75,Products!$A:$A,0))</f>
        <v>Maggi Noodles 12pk</v>
      </c>
      <c r="I75" t="str">
        <f>INDEX(Products!$C:$C, MATCH(Sales_Enriched!C75,Products!$A:$A,0))</f>
        <v>Grocery</v>
      </c>
      <c r="J75" s="11">
        <f>INDEX(Products!$F:$F, MATCH(Sales_Enriched!C75,Products!$A:$A,0))</f>
        <v>180</v>
      </c>
      <c r="K75" t="str">
        <f>INDEX(Customers!$B:$B, MATCH(Sales_Enriched!D75,Customers!$A:$A,0))</f>
        <v>Manish Joshi</v>
      </c>
      <c r="L75" t="str">
        <f>INDEX(Customers!$C:$C, MATCH(Sales_Enriched!D75,Customers!$A:$A,0))</f>
        <v>Delhi</v>
      </c>
      <c r="M75" s="11">
        <f t="shared" si="5"/>
        <v>360</v>
      </c>
      <c r="N75" s="11">
        <f t="shared" si="6"/>
        <v>18</v>
      </c>
      <c r="O75" s="11">
        <f t="shared" si="7"/>
        <v>342</v>
      </c>
      <c r="P75">
        <f>HLOOKUP(TEXT(B75,"MMM"),'Monthly_Targets '!$A$1:$M$11, MATCH(Sales_Enriched!E75,'Monthly_Targets '!$A$1:$A$11,0),FALSE)</f>
        <v>697000</v>
      </c>
      <c r="Q75" t="str">
        <f t="shared" si="8"/>
        <v>Low Discount</v>
      </c>
      <c r="R75" t="str">
        <f t="shared" si="9"/>
        <v>Poor</v>
      </c>
    </row>
    <row r="76" spans="1:18" x14ac:dyDescent="0.3">
      <c r="A76" s="2" t="s">
        <v>480</v>
      </c>
      <c r="B76" s="19">
        <v>45018</v>
      </c>
      <c r="C76" s="2" t="s">
        <v>101</v>
      </c>
      <c r="D76" s="2" t="s">
        <v>221</v>
      </c>
      <c r="E76" s="2" t="s">
        <v>119</v>
      </c>
      <c r="F76" s="2">
        <v>2</v>
      </c>
      <c r="G76" s="2">
        <v>10</v>
      </c>
      <c r="H76" t="str">
        <f>INDEX(Products!$B:$B,MATCH(Sales_Enriched!C76,Products!$A:$A,0))</f>
        <v>Colgate Toothpaste 200g</v>
      </c>
      <c r="I76" t="str">
        <f>INDEX(Products!$C:$C, MATCH(Sales_Enriched!C76,Products!$A:$A,0))</f>
        <v>Home Care</v>
      </c>
      <c r="J76" s="11">
        <f>INDEX(Products!$F:$F, MATCH(Sales_Enriched!C76,Products!$A:$A,0))</f>
        <v>95</v>
      </c>
      <c r="K76" t="str">
        <f>INDEX(Customers!$B:$B, MATCH(Sales_Enriched!D76,Customers!$A:$A,0))</f>
        <v>Suresh Ghosh</v>
      </c>
      <c r="L76" t="str">
        <f>INDEX(Customers!$C:$C, MATCH(Sales_Enriched!D76,Customers!$A:$A,0))</f>
        <v>Kolkata</v>
      </c>
      <c r="M76" s="11">
        <f t="shared" si="5"/>
        <v>190</v>
      </c>
      <c r="N76" s="11">
        <f t="shared" si="6"/>
        <v>19</v>
      </c>
      <c r="O76" s="11">
        <f t="shared" si="7"/>
        <v>171</v>
      </c>
      <c r="P76">
        <f>HLOOKUP(TEXT(B76,"MMM"),'Monthly_Targets '!$A$1:$M$11, MATCH(Sales_Enriched!E76,'Monthly_Targets '!$A$1:$A$11,0),FALSE)</f>
        <v>765000</v>
      </c>
      <c r="Q76" t="str">
        <f t="shared" si="8"/>
        <v>Low Discount</v>
      </c>
      <c r="R76" t="str">
        <f t="shared" si="9"/>
        <v>Poor</v>
      </c>
    </row>
    <row r="77" spans="1:18" x14ac:dyDescent="0.3">
      <c r="A77" s="3" t="s">
        <v>482</v>
      </c>
      <c r="B77" s="20">
        <v>45103</v>
      </c>
      <c r="C77" s="3" t="s">
        <v>60</v>
      </c>
      <c r="D77" s="3" t="s">
        <v>242</v>
      </c>
      <c r="E77" s="3" t="s">
        <v>170</v>
      </c>
      <c r="F77" s="3">
        <v>9</v>
      </c>
      <c r="G77" s="3">
        <v>0</v>
      </c>
      <c r="H77" t="str">
        <f>INDEX(Products!$B:$B,MATCH(Sales_Enriched!C77,Products!$A:$A,0))</f>
        <v>Lakme Lipstick</v>
      </c>
      <c r="I77" t="str">
        <f>INDEX(Products!$C:$C, MATCH(Sales_Enriched!C77,Products!$A:$A,0))</f>
        <v>Beauty</v>
      </c>
      <c r="J77" s="11">
        <f>INDEX(Products!$F:$F, MATCH(Sales_Enriched!C77,Products!$A:$A,0))</f>
        <v>350</v>
      </c>
      <c r="K77" t="str">
        <f>INDEX(Customers!$B:$B, MATCH(Sales_Enriched!D77,Customers!$A:$A,0))</f>
        <v>Pooja Verma</v>
      </c>
      <c r="L77" t="str">
        <f>INDEX(Customers!$C:$C, MATCH(Sales_Enriched!D77,Customers!$A:$A,0))</f>
        <v>Bangalore</v>
      </c>
      <c r="M77" s="11">
        <f t="shared" si="5"/>
        <v>3150</v>
      </c>
      <c r="N77" s="11">
        <f t="shared" si="6"/>
        <v>0</v>
      </c>
      <c r="O77" s="11">
        <f t="shared" si="7"/>
        <v>3150</v>
      </c>
      <c r="P77">
        <f>HLOOKUP(TEXT(B77,"MMM"),'Monthly_Targets '!$A$1:$M$11, MATCH(Sales_Enriched!E77,'Monthly_Targets '!$A$1:$A$11,0),FALSE)</f>
        <v>343200</v>
      </c>
      <c r="Q77" t="str">
        <f t="shared" si="8"/>
        <v>No Discount</v>
      </c>
      <c r="R77" t="str">
        <f t="shared" si="9"/>
        <v>Poor</v>
      </c>
    </row>
    <row r="78" spans="1:18" x14ac:dyDescent="0.3">
      <c r="A78" s="2" t="s">
        <v>483</v>
      </c>
      <c r="B78" s="19">
        <v>45124</v>
      </c>
      <c r="C78" s="2" t="s">
        <v>101</v>
      </c>
      <c r="D78" s="2" t="s">
        <v>212</v>
      </c>
      <c r="E78" s="2" t="s">
        <v>142</v>
      </c>
      <c r="F78" s="2">
        <v>1</v>
      </c>
      <c r="G78" s="2">
        <v>10</v>
      </c>
      <c r="H78" t="str">
        <f>INDEX(Products!$B:$B,MATCH(Sales_Enriched!C78,Products!$A:$A,0))</f>
        <v>Colgate Toothpaste 200g</v>
      </c>
      <c r="I78" t="str">
        <f>INDEX(Products!$C:$C, MATCH(Sales_Enriched!C78,Products!$A:$A,0))</f>
        <v>Home Care</v>
      </c>
      <c r="J78" s="11">
        <f>INDEX(Products!$F:$F, MATCH(Sales_Enriched!C78,Products!$A:$A,0))</f>
        <v>95</v>
      </c>
      <c r="K78" t="str">
        <f>INDEX(Customers!$B:$B, MATCH(Sales_Enriched!D78,Customers!$A:$A,0))</f>
        <v>Arjun Patel</v>
      </c>
      <c r="L78" t="str">
        <f>INDEX(Customers!$C:$C, MATCH(Sales_Enriched!D78,Customers!$A:$A,0))</f>
        <v>Bangalore</v>
      </c>
      <c r="M78" s="11">
        <f t="shared" si="5"/>
        <v>95</v>
      </c>
      <c r="N78" s="11">
        <f t="shared" si="6"/>
        <v>9.5</v>
      </c>
      <c r="O78" s="11">
        <f t="shared" si="7"/>
        <v>85.5</v>
      </c>
      <c r="P78">
        <f>HLOOKUP(TEXT(B78,"MMM"),'Monthly_Targets '!$A$1:$M$11, MATCH(Sales_Enriched!E78,'Monthly_Targets '!$A$1:$A$11,0),FALSE)</f>
        <v>623200</v>
      </c>
      <c r="Q78" t="str">
        <f t="shared" si="8"/>
        <v>Low Discount</v>
      </c>
      <c r="R78" t="str">
        <f t="shared" si="9"/>
        <v>Poor</v>
      </c>
    </row>
    <row r="79" spans="1:18" x14ac:dyDescent="0.3">
      <c r="A79" s="3" t="s">
        <v>485</v>
      </c>
      <c r="B79" s="20">
        <v>44927</v>
      </c>
      <c r="C79" s="3" t="s">
        <v>91</v>
      </c>
      <c r="D79" s="3" t="s">
        <v>258</v>
      </c>
      <c r="E79" s="3" t="s">
        <v>138</v>
      </c>
      <c r="F79" s="3">
        <v>6</v>
      </c>
      <c r="G79" s="3">
        <v>10</v>
      </c>
      <c r="H79" t="str">
        <f>INDEX(Products!$B:$B,MATCH(Sales_Enriched!C79,Products!$A:$A,0))</f>
        <v>Parle-G Biscuits 1kg</v>
      </c>
      <c r="I79" t="str">
        <f>INDEX(Products!$C:$C, MATCH(Sales_Enriched!C79,Products!$A:$A,0))</f>
        <v>Grocery</v>
      </c>
      <c r="J79" s="11">
        <f>INDEX(Products!$F:$F, MATCH(Sales_Enriched!C79,Products!$A:$A,0))</f>
        <v>95</v>
      </c>
      <c r="K79" t="str">
        <f>INDEX(Customers!$B:$B, MATCH(Sales_Enriched!D79,Customers!$A:$A,0))</f>
        <v>Sudha Sharma</v>
      </c>
      <c r="L79" t="str">
        <f>INDEX(Customers!$C:$C, MATCH(Sales_Enriched!D79,Customers!$A:$A,0))</f>
        <v>Bangalore</v>
      </c>
      <c r="M79" s="11">
        <f t="shared" si="5"/>
        <v>570</v>
      </c>
      <c r="N79" s="11">
        <f t="shared" si="6"/>
        <v>57</v>
      </c>
      <c r="O79" s="11">
        <f t="shared" si="7"/>
        <v>513</v>
      </c>
      <c r="P79">
        <f>HLOOKUP(TEXT(B79,"MMM"),'Monthly_Targets '!$A$1:$M$11, MATCH(Sales_Enriched!E79,'Monthly_Targets '!$A$1:$A$11,0),FALSE)</f>
        <v>408000</v>
      </c>
      <c r="Q79" t="str">
        <f t="shared" si="8"/>
        <v>Low Discount</v>
      </c>
      <c r="R79" t="str">
        <f t="shared" si="9"/>
        <v>Poor</v>
      </c>
    </row>
    <row r="80" spans="1:18" x14ac:dyDescent="0.3">
      <c r="A80" s="2" t="s">
        <v>487</v>
      </c>
      <c r="B80" s="19">
        <v>44962</v>
      </c>
      <c r="C80" s="2" t="s">
        <v>60</v>
      </c>
      <c r="D80" s="2" t="s">
        <v>266</v>
      </c>
      <c r="E80" s="2" t="s">
        <v>149</v>
      </c>
      <c r="F80" s="2">
        <v>2</v>
      </c>
      <c r="G80" s="2">
        <v>5</v>
      </c>
      <c r="H80" t="str">
        <f>INDEX(Products!$B:$B,MATCH(Sales_Enriched!C80,Products!$A:$A,0))</f>
        <v>Lakme Lipstick</v>
      </c>
      <c r="I80" t="str">
        <f>INDEX(Products!$C:$C, MATCH(Sales_Enriched!C80,Products!$A:$A,0))</f>
        <v>Beauty</v>
      </c>
      <c r="J80" s="11">
        <f>INDEX(Products!$F:$F, MATCH(Sales_Enriched!C80,Products!$A:$A,0))</f>
        <v>350</v>
      </c>
      <c r="K80" t="str">
        <f>INDEX(Customers!$B:$B, MATCH(Sales_Enriched!D80,Customers!$A:$A,0))</f>
        <v>Lalita Das</v>
      </c>
      <c r="L80" t="str">
        <f>INDEX(Customers!$C:$C, MATCH(Sales_Enriched!D80,Customers!$A:$A,0))</f>
        <v>Kolkata</v>
      </c>
      <c r="M80" s="11">
        <f t="shared" si="5"/>
        <v>700</v>
      </c>
      <c r="N80" s="11">
        <f t="shared" si="6"/>
        <v>35</v>
      </c>
      <c r="O80" s="11">
        <f t="shared" si="7"/>
        <v>665</v>
      </c>
      <c r="P80">
        <f>HLOOKUP(TEXT(B80,"MMM"),'Monthly_Targets '!$A$1:$M$11, MATCH(Sales_Enriched!E80,'Monthly_Targets '!$A$1:$A$11,0),FALSE)</f>
        <v>369600</v>
      </c>
      <c r="Q80" t="str">
        <f t="shared" si="8"/>
        <v>Low Discount</v>
      </c>
      <c r="R80" t="str">
        <f t="shared" si="9"/>
        <v>Poor</v>
      </c>
    </row>
    <row r="81" spans="1:18" x14ac:dyDescent="0.3">
      <c r="A81" s="3" t="s">
        <v>488</v>
      </c>
      <c r="B81" s="20">
        <v>45186</v>
      </c>
      <c r="C81" s="3" t="s">
        <v>55</v>
      </c>
      <c r="D81" s="3" t="s">
        <v>242</v>
      </c>
      <c r="E81" s="3" t="s">
        <v>149</v>
      </c>
      <c r="F81" s="3">
        <v>7</v>
      </c>
      <c r="G81" s="3">
        <v>5</v>
      </c>
      <c r="H81" t="str">
        <f>INDEX(Products!$B:$B,MATCH(Sales_Enriched!C81,Products!$A:$A,0))</f>
        <v>Dettol Handwash 250ml</v>
      </c>
      <c r="I81" t="str">
        <f>INDEX(Products!$C:$C, MATCH(Sales_Enriched!C81,Products!$A:$A,0))</f>
        <v>Home Care</v>
      </c>
      <c r="J81" s="11">
        <f>INDEX(Products!$F:$F, MATCH(Sales_Enriched!C81,Products!$A:$A,0))</f>
        <v>95</v>
      </c>
      <c r="K81" t="str">
        <f>INDEX(Customers!$B:$B, MATCH(Sales_Enriched!D81,Customers!$A:$A,0))</f>
        <v>Pooja Verma</v>
      </c>
      <c r="L81" t="str">
        <f>INDEX(Customers!$C:$C, MATCH(Sales_Enriched!D81,Customers!$A:$A,0))</f>
        <v>Bangalore</v>
      </c>
      <c r="M81" s="11">
        <f t="shared" si="5"/>
        <v>665</v>
      </c>
      <c r="N81" s="11">
        <f t="shared" si="6"/>
        <v>33.25</v>
      </c>
      <c r="O81" s="11">
        <f t="shared" si="7"/>
        <v>631.75</v>
      </c>
      <c r="P81">
        <f>HLOOKUP(TEXT(B81,"MMM"),'Monthly_Targets '!$A$1:$M$11, MATCH(Sales_Enriched!E81,'Monthly_Targets '!$A$1:$A$11,0),FALSE)</f>
        <v>399000</v>
      </c>
      <c r="Q81" t="str">
        <f t="shared" si="8"/>
        <v>Low Discount</v>
      </c>
      <c r="R81" t="str">
        <f t="shared" si="9"/>
        <v>Poor</v>
      </c>
    </row>
    <row r="82" spans="1:18" x14ac:dyDescent="0.3">
      <c r="A82" s="2" t="s">
        <v>490</v>
      </c>
      <c r="B82" s="19">
        <v>45210</v>
      </c>
      <c r="C82" s="2" t="s">
        <v>30</v>
      </c>
      <c r="D82" s="2" t="s">
        <v>212</v>
      </c>
      <c r="E82" s="2" t="s">
        <v>153</v>
      </c>
      <c r="F82" s="2">
        <v>7</v>
      </c>
      <c r="G82" s="2">
        <v>0</v>
      </c>
      <c r="H82" t="str">
        <f>INDEX(Products!$B:$B,MATCH(Sales_Enriched!C82,Products!$A:$A,0))</f>
        <v>Amul Gold Milk 1L</v>
      </c>
      <c r="I82" t="str">
        <f>INDEX(Products!$C:$C, MATCH(Sales_Enriched!C82,Products!$A:$A,0))</f>
        <v>Dairy</v>
      </c>
      <c r="J82" s="11">
        <f>INDEX(Products!$F:$F, MATCH(Sales_Enriched!C82,Products!$A:$A,0))</f>
        <v>68</v>
      </c>
      <c r="K82" t="str">
        <f>INDEX(Customers!$B:$B, MATCH(Sales_Enriched!D82,Customers!$A:$A,0))</f>
        <v>Arjun Patel</v>
      </c>
      <c r="L82" t="str">
        <f>INDEX(Customers!$C:$C, MATCH(Sales_Enriched!D82,Customers!$A:$A,0))</f>
        <v>Bangalore</v>
      </c>
      <c r="M82" s="11">
        <f t="shared" si="5"/>
        <v>476</v>
      </c>
      <c r="N82" s="11">
        <f t="shared" si="6"/>
        <v>0</v>
      </c>
      <c r="O82" s="11">
        <f t="shared" si="7"/>
        <v>476</v>
      </c>
      <c r="P82">
        <f>HLOOKUP(TEXT(B82,"MMM"),'Monthly_Targets '!$A$1:$M$11, MATCH(Sales_Enriched!E82,'Monthly_Targets '!$A$1:$A$11,0),FALSE)</f>
        <v>748000</v>
      </c>
      <c r="Q82" t="str">
        <f t="shared" si="8"/>
        <v>No Discount</v>
      </c>
      <c r="R82" t="str">
        <f t="shared" si="9"/>
        <v>Poor</v>
      </c>
    </row>
    <row r="83" spans="1:18" x14ac:dyDescent="0.3">
      <c r="A83" s="3" t="s">
        <v>491</v>
      </c>
      <c r="B83" s="20">
        <v>45242</v>
      </c>
      <c r="C83" s="3" t="s">
        <v>101</v>
      </c>
      <c r="D83" s="3" t="s">
        <v>225</v>
      </c>
      <c r="E83" s="3" t="s">
        <v>153</v>
      </c>
      <c r="F83" s="3">
        <v>9</v>
      </c>
      <c r="G83" s="3">
        <v>0</v>
      </c>
      <c r="H83" t="str">
        <f>INDEX(Products!$B:$B,MATCH(Sales_Enriched!C83,Products!$A:$A,0))</f>
        <v>Colgate Toothpaste 200g</v>
      </c>
      <c r="I83" t="str">
        <f>INDEX(Products!$C:$C, MATCH(Sales_Enriched!C83,Products!$A:$A,0))</f>
        <v>Home Care</v>
      </c>
      <c r="J83" s="11">
        <f>INDEX(Products!$F:$F, MATCH(Sales_Enriched!C83,Products!$A:$A,0))</f>
        <v>95</v>
      </c>
      <c r="K83" t="str">
        <f>INDEX(Customers!$B:$B, MATCH(Sales_Enriched!D83,Customers!$A:$A,0))</f>
        <v>Rupa Devi</v>
      </c>
      <c r="L83" t="str">
        <f>INDEX(Customers!$C:$C, MATCH(Sales_Enriched!D83,Customers!$A:$A,0))</f>
        <v>Kolkata</v>
      </c>
      <c r="M83" s="11">
        <f t="shared" si="5"/>
        <v>855</v>
      </c>
      <c r="N83" s="11">
        <f t="shared" si="6"/>
        <v>0</v>
      </c>
      <c r="O83" s="11">
        <f t="shared" si="7"/>
        <v>855</v>
      </c>
      <c r="P83">
        <f>HLOOKUP(TEXT(B83,"MMM"),'Monthly_Targets '!$A$1:$M$11, MATCH(Sales_Enriched!E83,'Monthly_Targets '!$A$1:$A$11,0),FALSE)</f>
        <v>816000</v>
      </c>
      <c r="Q83" t="str">
        <f t="shared" si="8"/>
        <v>No Discount</v>
      </c>
      <c r="R83" t="str">
        <f t="shared" si="9"/>
        <v>Poor</v>
      </c>
    </row>
    <row r="84" spans="1:18" x14ac:dyDescent="0.3">
      <c r="A84" s="2" t="s">
        <v>493</v>
      </c>
      <c r="B84" s="19">
        <v>45082</v>
      </c>
      <c r="C84" s="2" t="s">
        <v>55</v>
      </c>
      <c r="D84" s="2" t="s">
        <v>212</v>
      </c>
      <c r="E84" s="2" t="s">
        <v>153</v>
      </c>
      <c r="F84" s="2">
        <v>10</v>
      </c>
      <c r="G84" s="2">
        <v>10</v>
      </c>
      <c r="H84" t="str">
        <f>INDEX(Products!$B:$B,MATCH(Sales_Enriched!C84,Products!$A:$A,0))</f>
        <v>Dettol Handwash 250ml</v>
      </c>
      <c r="I84" t="str">
        <f>INDEX(Products!$C:$C, MATCH(Sales_Enriched!C84,Products!$A:$A,0))</f>
        <v>Home Care</v>
      </c>
      <c r="J84" s="11">
        <f>INDEX(Products!$F:$F, MATCH(Sales_Enriched!C84,Products!$A:$A,0))</f>
        <v>95</v>
      </c>
      <c r="K84" t="str">
        <f>INDEX(Customers!$B:$B, MATCH(Sales_Enriched!D84,Customers!$A:$A,0))</f>
        <v>Arjun Patel</v>
      </c>
      <c r="L84" t="str">
        <f>INDEX(Customers!$C:$C, MATCH(Sales_Enriched!D84,Customers!$A:$A,0))</f>
        <v>Bangalore</v>
      </c>
      <c r="M84" s="11">
        <f t="shared" si="5"/>
        <v>950</v>
      </c>
      <c r="N84" s="11">
        <f t="shared" si="6"/>
        <v>95</v>
      </c>
      <c r="O84" s="11">
        <f t="shared" si="7"/>
        <v>855</v>
      </c>
      <c r="P84">
        <f>HLOOKUP(TEXT(B84,"MMM"),'Monthly_Targets '!$A$1:$M$11, MATCH(Sales_Enriched!E84,'Monthly_Targets '!$A$1:$A$11,0),FALSE)</f>
        <v>598400</v>
      </c>
      <c r="Q84" t="str">
        <f t="shared" si="8"/>
        <v>Low Discount</v>
      </c>
      <c r="R84" t="str">
        <f t="shared" si="9"/>
        <v>Poor</v>
      </c>
    </row>
    <row r="85" spans="1:18" x14ac:dyDescent="0.3">
      <c r="A85" s="3" t="s">
        <v>495</v>
      </c>
      <c r="B85" s="20">
        <v>45165</v>
      </c>
      <c r="C85" s="3" t="s">
        <v>80</v>
      </c>
      <c r="D85" s="3" t="s">
        <v>246</v>
      </c>
      <c r="E85" s="3" t="s">
        <v>138</v>
      </c>
      <c r="F85" s="3">
        <v>9</v>
      </c>
      <c r="G85" s="3">
        <v>15</v>
      </c>
      <c r="H85" t="str">
        <f>INDEX(Products!$B:$B,MATCH(Sales_Enriched!C85,Products!$A:$A,0))</f>
        <v>Prestige Cooker 5L</v>
      </c>
      <c r="I85" t="str">
        <f>INDEX(Products!$C:$C, MATCH(Sales_Enriched!C85,Products!$A:$A,0))</f>
        <v>Kitchenware</v>
      </c>
      <c r="J85" s="11">
        <f>INDEX(Products!$F:$F, MATCH(Sales_Enriched!C85,Products!$A:$A,0))</f>
        <v>1850</v>
      </c>
      <c r="K85" t="str">
        <f>INDEX(Customers!$B:$B, MATCH(Sales_Enriched!D85,Customers!$A:$A,0))</f>
        <v>Arun Banerjee</v>
      </c>
      <c r="L85" t="str">
        <f>INDEX(Customers!$C:$C, MATCH(Sales_Enriched!D85,Customers!$A:$A,0))</f>
        <v>Kolkata</v>
      </c>
      <c r="M85" s="11">
        <f t="shared" si="5"/>
        <v>16650</v>
      </c>
      <c r="N85" s="11">
        <f t="shared" si="6"/>
        <v>2497.5</v>
      </c>
      <c r="O85" s="11">
        <f t="shared" si="7"/>
        <v>14152.5</v>
      </c>
      <c r="P85">
        <f>HLOOKUP(TEXT(B85,"MMM"),'Monthly_Targets '!$A$1:$M$11, MATCH(Sales_Enriched!E85,'Monthly_Targets '!$A$1:$A$11,0),FALSE)</f>
        <v>408000</v>
      </c>
      <c r="Q85" t="str">
        <f t="shared" si="8"/>
        <v>High Discount</v>
      </c>
      <c r="R85" t="str">
        <f t="shared" si="9"/>
        <v>Poor</v>
      </c>
    </row>
    <row r="86" spans="1:18" x14ac:dyDescent="0.3">
      <c r="A86" s="2" t="s">
        <v>497</v>
      </c>
      <c r="B86" s="19">
        <v>45013</v>
      </c>
      <c r="C86" s="2" t="s">
        <v>19</v>
      </c>
      <c r="D86" s="2" t="s">
        <v>225</v>
      </c>
      <c r="E86" s="2" t="s">
        <v>163</v>
      </c>
      <c r="F86" s="2">
        <v>10</v>
      </c>
      <c r="G86" s="2">
        <v>10</v>
      </c>
      <c r="H86" t="str">
        <f>INDEX(Products!$B:$B,MATCH(Sales_Enriched!C86,Products!$A:$A,0))</f>
        <v>Sunflower Oil 1L</v>
      </c>
      <c r="I86" t="str">
        <f>INDEX(Products!$C:$C, MATCH(Sales_Enriched!C86,Products!$A:$A,0))</f>
        <v>Grocery</v>
      </c>
      <c r="J86" s="11">
        <f>INDEX(Products!$F:$F, MATCH(Sales_Enriched!C86,Products!$A:$A,0))</f>
        <v>165</v>
      </c>
      <c r="K86" t="str">
        <f>INDEX(Customers!$B:$B, MATCH(Sales_Enriched!D86,Customers!$A:$A,0))</f>
        <v>Rupa Devi</v>
      </c>
      <c r="L86" t="str">
        <f>INDEX(Customers!$C:$C, MATCH(Sales_Enriched!D86,Customers!$A:$A,0))</f>
        <v>Kolkata</v>
      </c>
      <c r="M86" s="11">
        <f t="shared" si="5"/>
        <v>1650</v>
      </c>
      <c r="N86" s="11">
        <f t="shared" si="6"/>
        <v>165</v>
      </c>
      <c r="O86" s="11">
        <f t="shared" si="7"/>
        <v>1485</v>
      </c>
      <c r="P86">
        <f>HLOOKUP(TEXT(B86,"MMM"),'Monthly_Targets '!$A$1:$M$11, MATCH(Sales_Enriched!E86,'Monthly_Targets '!$A$1:$A$11,0),FALSE)</f>
        <v>674500</v>
      </c>
      <c r="Q86" t="str">
        <f t="shared" si="8"/>
        <v>Low Discount</v>
      </c>
      <c r="R86" t="str">
        <f t="shared" si="9"/>
        <v>Poor</v>
      </c>
    </row>
    <row r="87" spans="1:18" x14ac:dyDescent="0.3">
      <c r="A87" s="3" t="s">
        <v>499</v>
      </c>
      <c r="B87" s="20">
        <v>44974</v>
      </c>
      <c r="C87" s="3" t="s">
        <v>44</v>
      </c>
      <c r="D87" s="3" t="s">
        <v>225</v>
      </c>
      <c r="E87" s="3" t="s">
        <v>138</v>
      </c>
      <c r="F87" s="3">
        <v>4</v>
      </c>
      <c r="G87" s="3">
        <v>0</v>
      </c>
      <c r="H87" t="str">
        <f>INDEX(Products!$B:$B,MATCH(Sales_Enriched!C87,Products!$A:$A,0))</f>
        <v>Philips LED Bulb 9W</v>
      </c>
      <c r="I87" t="str">
        <f>INDEX(Products!$C:$C, MATCH(Sales_Enriched!C87,Products!$A:$A,0))</f>
        <v>Electronics</v>
      </c>
      <c r="J87" s="11">
        <f>INDEX(Products!$F:$F, MATCH(Sales_Enriched!C87,Products!$A:$A,0))</f>
        <v>129</v>
      </c>
      <c r="K87" t="str">
        <f>INDEX(Customers!$B:$B, MATCH(Sales_Enriched!D87,Customers!$A:$A,0))</f>
        <v>Rupa Devi</v>
      </c>
      <c r="L87" t="str">
        <f>INDEX(Customers!$C:$C, MATCH(Sales_Enriched!D87,Customers!$A:$A,0))</f>
        <v>Kolkata</v>
      </c>
      <c r="M87" s="11">
        <f t="shared" si="5"/>
        <v>516</v>
      </c>
      <c r="N87" s="11">
        <f t="shared" si="6"/>
        <v>0</v>
      </c>
      <c r="O87" s="11">
        <f t="shared" si="7"/>
        <v>516</v>
      </c>
      <c r="P87">
        <f>HLOOKUP(TEXT(B87,"MMM"),'Monthly_Targets '!$A$1:$M$11, MATCH(Sales_Enriched!E87,'Monthly_Targets '!$A$1:$A$11,0),FALSE)</f>
        <v>422400</v>
      </c>
      <c r="Q87" t="str">
        <f t="shared" si="8"/>
        <v>No Discount</v>
      </c>
      <c r="R87" t="str">
        <f t="shared" si="9"/>
        <v>Poor</v>
      </c>
    </row>
    <row r="88" spans="1:18" x14ac:dyDescent="0.3">
      <c r="A88" s="2" t="s">
        <v>501</v>
      </c>
      <c r="B88" s="19">
        <v>44939</v>
      </c>
      <c r="C88" s="2" t="s">
        <v>14</v>
      </c>
      <c r="D88" s="2" t="s">
        <v>217</v>
      </c>
      <c r="E88" s="2" t="s">
        <v>159</v>
      </c>
      <c r="F88" s="2">
        <v>10</v>
      </c>
      <c r="G88" s="2">
        <v>0</v>
      </c>
      <c r="H88" t="str">
        <f>INDEX(Products!$B:$B,MATCH(Sales_Enriched!C88,Products!$A:$A,0))</f>
        <v>Toor Dal 1kg</v>
      </c>
      <c r="I88" t="str">
        <f>INDEX(Products!$C:$C, MATCH(Sales_Enriched!C88,Products!$A:$A,0))</f>
        <v>Grocery</v>
      </c>
      <c r="J88" s="11">
        <f>INDEX(Products!$F:$F, MATCH(Sales_Enriched!C88,Products!$A:$A,0))</f>
        <v>145</v>
      </c>
      <c r="K88" t="str">
        <f>INDEX(Customers!$B:$B, MATCH(Sales_Enriched!D88,Customers!$A:$A,0))</f>
        <v>Kavitha Kumar</v>
      </c>
      <c r="L88" t="str">
        <f>INDEX(Customers!$C:$C, MATCH(Sales_Enriched!D88,Customers!$A:$A,0))</f>
        <v>Chennai</v>
      </c>
      <c r="M88" s="11">
        <f t="shared" si="5"/>
        <v>1450</v>
      </c>
      <c r="N88" s="11">
        <f t="shared" si="6"/>
        <v>0</v>
      </c>
      <c r="O88" s="11">
        <f t="shared" si="7"/>
        <v>1450</v>
      </c>
      <c r="P88">
        <f>HLOOKUP(TEXT(B88,"MMM"),'Monthly_Targets '!$A$1:$M$11, MATCH(Sales_Enriched!E88,'Monthly_Targets '!$A$1:$A$11,0),FALSE)</f>
        <v>348500</v>
      </c>
      <c r="Q88" t="str">
        <f t="shared" si="8"/>
        <v>No Discount</v>
      </c>
      <c r="R88" t="str">
        <f t="shared" si="9"/>
        <v>Poor</v>
      </c>
    </row>
    <row r="89" spans="1:18" x14ac:dyDescent="0.3">
      <c r="A89" s="3" t="s">
        <v>503</v>
      </c>
      <c r="B89" s="20">
        <v>45160</v>
      </c>
      <c r="C89" s="3" t="s">
        <v>75</v>
      </c>
      <c r="D89" s="3" t="s">
        <v>262</v>
      </c>
      <c r="E89" s="3" t="s">
        <v>138</v>
      </c>
      <c r="F89" s="3">
        <v>7</v>
      </c>
      <c r="G89" s="3">
        <v>15</v>
      </c>
      <c r="H89" t="str">
        <f>INDEX(Products!$B:$B,MATCH(Sales_Enriched!C89,Products!$A:$A,0))</f>
        <v>Nike T-Shirt</v>
      </c>
      <c r="I89" t="str">
        <f>INDEX(Products!$C:$C, MATCH(Sales_Enriched!C89,Products!$A:$A,0))</f>
        <v>Apparel</v>
      </c>
      <c r="J89" s="11">
        <f>INDEX(Products!$F:$F, MATCH(Sales_Enriched!C89,Products!$A:$A,0))</f>
        <v>1299</v>
      </c>
      <c r="K89" t="str">
        <f>INDEX(Customers!$B:$B, MATCH(Sales_Enriched!D89,Customers!$A:$A,0))</f>
        <v>Kiran Reddy</v>
      </c>
      <c r="L89" t="str">
        <f>INDEX(Customers!$C:$C, MATCH(Sales_Enriched!D89,Customers!$A:$A,0))</f>
        <v>Mumbai</v>
      </c>
      <c r="M89" s="11">
        <f t="shared" si="5"/>
        <v>9093</v>
      </c>
      <c r="N89" s="11">
        <f t="shared" si="6"/>
        <v>1363.95</v>
      </c>
      <c r="O89" s="11">
        <f t="shared" si="7"/>
        <v>7729.05</v>
      </c>
      <c r="P89">
        <f>HLOOKUP(TEXT(B89,"MMM"),'Monthly_Targets '!$A$1:$M$11, MATCH(Sales_Enriched!E89,'Monthly_Targets '!$A$1:$A$11,0),FALSE)</f>
        <v>408000</v>
      </c>
      <c r="Q89" t="str">
        <f t="shared" si="8"/>
        <v>High Discount</v>
      </c>
      <c r="R89" t="str">
        <f t="shared" si="9"/>
        <v>Poor</v>
      </c>
    </row>
    <row r="90" spans="1:18" x14ac:dyDescent="0.3">
      <c r="A90" s="2" t="s">
        <v>505</v>
      </c>
      <c r="B90" s="19">
        <v>45131</v>
      </c>
      <c r="C90" s="2" t="s">
        <v>44</v>
      </c>
      <c r="D90" s="2" t="s">
        <v>204</v>
      </c>
      <c r="E90" s="2" t="s">
        <v>119</v>
      </c>
      <c r="F90" s="2">
        <v>2</v>
      </c>
      <c r="G90" s="2">
        <v>10</v>
      </c>
      <c r="H90" t="str">
        <f>INDEX(Products!$B:$B,MATCH(Sales_Enriched!C90,Products!$A:$A,0))</f>
        <v>Philips LED Bulb 9W</v>
      </c>
      <c r="I90" t="str">
        <f>INDEX(Products!$C:$C, MATCH(Sales_Enriched!C90,Products!$A:$A,0))</f>
        <v>Electronics</v>
      </c>
      <c r="J90" s="11">
        <f>INDEX(Products!$F:$F, MATCH(Sales_Enriched!C90,Products!$A:$A,0))</f>
        <v>129</v>
      </c>
      <c r="K90" t="str">
        <f>INDEX(Customers!$B:$B, MATCH(Sales_Enriched!D90,Customers!$A:$A,0))</f>
        <v>Rohan Gupta</v>
      </c>
      <c r="L90" t="str">
        <f>INDEX(Customers!$C:$C, MATCH(Sales_Enriched!D90,Customers!$A:$A,0))</f>
        <v>Delhi</v>
      </c>
      <c r="M90" s="11">
        <f t="shared" si="5"/>
        <v>258</v>
      </c>
      <c r="N90" s="11">
        <f t="shared" si="6"/>
        <v>25.8</v>
      </c>
      <c r="O90" s="11">
        <f t="shared" si="7"/>
        <v>232.2</v>
      </c>
      <c r="P90">
        <f>HLOOKUP(TEXT(B90,"MMM"),'Monthly_Targets '!$A$1:$M$11, MATCH(Sales_Enriched!E90,'Monthly_Targets '!$A$1:$A$11,0),FALSE)</f>
        <v>697000</v>
      </c>
      <c r="Q90" t="str">
        <f t="shared" si="8"/>
        <v>Low Discount</v>
      </c>
      <c r="R90" t="str">
        <f t="shared" si="9"/>
        <v>Poor</v>
      </c>
    </row>
    <row r="91" spans="1:18" x14ac:dyDescent="0.3">
      <c r="A91" s="3" t="s">
        <v>506</v>
      </c>
      <c r="B91" s="20">
        <v>45039</v>
      </c>
      <c r="C91" s="3" t="s">
        <v>33</v>
      </c>
      <c r="D91" s="3" t="s">
        <v>254</v>
      </c>
      <c r="E91" s="3" t="s">
        <v>159</v>
      </c>
      <c r="F91" s="3">
        <v>1</v>
      </c>
      <c r="G91" s="3">
        <v>20</v>
      </c>
      <c r="H91" t="str">
        <f>INDEX(Products!$B:$B,MATCH(Sales_Enriched!C91,Products!$A:$A,0))</f>
        <v>Samsung 43 Smart TV</v>
      </c>
      <c r="I91" t="str">
        <f>INDEX(Products!$C:$C, MATCH(Sales_Enriched!C91,Products!$A:$A,0))</f>
        <v>Electronics</v>
      </c>
      <c r="J91" s="11">
        <f>INDEX(Products!$F:$F, MATCH(Sales_Enriched!C91,Products!$A:$A,0))</f>
        <v>32999</v>
      </c>
      <c r="K91" t="str">
        <f>INDEX(Customers!$B:$B, MATCH(Sales_Enriched!D91,Customers!$A:$A,0))</f>
        <v>Dinesh Yadav</v>
      </c>
      <c r="L91" t="str">
        <f>INDEX(Customers!$C:$C, MATCH(Sales_Enriched!D91,Customers!$A:$A,0))</f>
        <v>Delhi</v>
      </c>
      <c r="M91" s="11">
        <f t="shared" si="5"/>
        <v>32999</v>
      </c>
      <c r="N91" s="11">
        <f t="shared" si="6"/>
        <v>6599.8</v>
      </c>
      <c r="O91" s="11">
        <f t="shared" si="7"/>
        <v>26399.200000000001</v>
      </c>
      <c r="P91">
        <f>HLOOKUP(TEXT(B91,"MMM"),'Monthly_Targets '!$A$1:$M$11, MATCH(Sales_Enriched!E91,'Monthly_Targets '!$A$1:$A$11,0),FALSE)</f>
        <v>369000</v>
      </c>
      <c r="Q91" t="str">
        <f t="shared" si="8"/>
        <v>High Discount</v>
      </c>
      <c r="R91" t="str">
        <f t="shared" si="9"/>
        <v>Poor</v>
      </c>
    </row>
    <row r="92" spans="1:18" x14ac:dyDescent="0.3">
      <c r="A92" s="2" t="s">
        <v>507</v>
      </c>
      <c r="B92" s="19">
        <v>45054</v>
      </c>
      <c r="C92" s="2" t="s">
        <v>24</v>
      </c>
      <c r="D92" s="2" t="s">
        <v>246</v>
      </c>
      <c r="E92" s="2" t="s">
        <v>131</v>
      </c>
      <c r="F92" s="2">
        <v>8</v>
      </c>
      <c r="G92" s="2">
        <v>20</v>
      </c>
      <c r="H92" t="str">
        <f>INDEX(Products!$B:$B,MATCH(Sales_Enriched!C92,Products!$A:$A,0))</f>
        <v>Amul Butter 500g</v>
      </c>
      <c r="I92" t="str">
        <f>INDEX(Products!$C:$C, MATCH(Sales_Enriched!C92,Products!$A:$A,0))</f>
        <v>Dairy</v>
      </c>
      <c r="J92" s="11">
        <f>INDEX(Products!$F:$F, MATCH(Sales_Enriched!C92,Products!$A:$A,0))</f>
        <v>275</v>
      </c>
      <c r="K92" t="str">
        <f>INDEX(Customers!$B:$B, MATCH(Sales_Enriched!D92,Customers!$A:$A,0))</f>
        <v>Arun Banerjee</v>
      </c>
      <c r="L92" t="str">
        <f>INDEX(Customers!$C:$C, MATCH(Sales_Enriched!D92,Customers!$A:$A,0))</f>
        <v>Kolkata</v>
      </c>
      <c r="M92" s="11">
        <f t="shared" si="5"/>
        <v>2200</v>
      </c>
      <c r="N92" s="11">
        <f t="shared" si="6"/>
        <v>440</v>
      </c>
      <c r="O92" s="11">
        <f t="shared" si="7"/>
        <v>1760</v>
      </c>
      <c r="P92">
        <f>HLOOKUP(TEXT(B92,"MMM"),'Monthly_Targets '!$A$1:$M$11, MATCH(Sales_Enriched!E92,'Monthly_Targets '!$A$1:$A$11,0),FALSE)</f>
        <v>846400</v>
      </c>
      <c r="Q92" t="str">
        <f t="shared" si="8"/>
        <v>High Discount</v>
      </c>
      <c r="R92" t="str">
        <f t="shared" si="9"/>
        <v>Poor</v>
      </c>
    </row>
    <row r="93" spans="1:18" x14ac:dyDescent="0.3">
      <c r="A93" s="3" t="s">
        <v>509</v>
      </c>
      <c r="B93" s="20">
        <v>45213</v>
      </c>
      <c r="C93" s="3" t="s">
        <v>106</v>
      </c>
      <c r="D93" s="3" t="s">
        <v>230</v>
      </c>
      <c r="E93" s="3" t="s">
        <v>159</v>
      </c>
      <c r="F93" s="3">
        <v>10</v>
      </c>
      <c r="G93" s="3">
        <v>20</v>
      </c>
      <c r="H93" t="str">
        <f>INDEX(Products!$B:$B,MATCH(Sales_Enriched!C93,Products!$A:$A,0))</f>
        <v>Woodland Shoes</v>
      </c>
      <c r="I93" t="str">
        <f>INDEX(Products!$C:$C, MATCH(Sales_Enriched!C93,Products!$A:$A,0))</f>
        <v>Apparel</v>
      </c>
      <c r="J93" s="11">
        <f>INDEX(Products!$F:$F, MATCH(Sales_Enriched!C93,Products!$A:$A,0))</f>
        <v>3499</v>
      </c>
      <c r="K93" t="str">
        <f>INDEX(Customers!$B:$B, MATCH(Sales_Enriched!D93,Customers!$A:$A,0))</f>
        <v>Manish Joshi</v>
      </c>
      <c r="L93" t="str">
        <f>INDEX(Customers!$C:$C, MATCH(Sales_Enriched!D93,Customers!$A:$A,0))</f>
        <v>Delhi</v>
      </c>
      <c r="M93" s="11">
        <f t="shared" si="5"/>
        <v>34990</v>
      </c>
      <c r="N93" s="11">
        <f t="shared" si="6"/>
        <v>6998</v>
      </c>
      <c r="O93" s="11">
        <f t="shared" si="7"/>
        <v>27992</v>
      </c>
      <c r="P93">
        <f>HLOOKUP(TEXT(B93,"MMM"),'Monthly_Targets '!$A$1:$M$11, MATCH(Sales_Enriched!E93,'Monthly_Targets '!$A$1:$A$11,0),FALSE)</f>
        <v>451000</v>
      </c>
      <c r="Q93" t="str">
        <f t="shared" si="8"/>
        <v>High Discount</v>
      </c>
      <c r="R93" t="str">
        <f t="shared" si="9"/>
        <v>Poor</v>
      </c>
    </row>
    <row r="94" spans="1:18" x14ac:dyDescent="0.3">
      <c r="A94" s="2" t="s">
        <v>510</v>
      </c>
      <c r="B94" s="19">
        <v>45145</v>
      </c>
      <c r="C94" s="2" t="s">
        <v>96</v>
      </c>
      <c r="D94" s="2" t="s">
        <v>246</v>
      </c>
      <c r="E94" s="2" t="s">
        <v>131</v>
      </c>
      <c r="F94" s="2">
        <v>8</v>
      </c>
      <c r="G94" s="2">
        <v>15</v>
      </c>
      <c r="H94" t="str">
        <f>INDEX(Products!$B:$B,MATCH(Sales_Enriched!C94,Products!$A:$A,0))</f>
        <v>Maggi Noodles 12pk</v>
      </c>
      <c r="I94" t="str">
        <f>INDEX(Products!$C:$C, MATCH(Sales_Enriched!C94,Products!$A:$A,0))</f>
        <v>Grocery</v>
      </c>
      <c r="J94" s="11">
        <f>INDEX(Products!$F:$F, MATCH(Sales_Enriched!C94,Products!$A:$A,0))</f>
        <v>180</v>
      </c>
      <c r="K94" t="str">
        <f>INDEX(Customers!$B:$B, MATCH(Sales_Enriched!D94,Customers!$A:$A,0))</f>
        <v>Arun Banerjee</v>
      </c>
      <c r="L94" t="str">
        <f>INDEX(Customers!$C:$C, MATCH(Sales_Enriched!D94,Customers!$A:$A,0))</f>
        <v>Kolkata</v>
      </c>
      <c r="M94" s="11">
        <f t="shared" si="5"/>
        <v>1440</v>
      </c>
      <c r="N94" s="11">
        <f t="shared" si="6"/>
        <v>216</v>
      </c>
      <c r="O94" s="11">
        <f t="shared" si="7"/>
        <v>1224</v>
      </c>
      <c r="P94">
        <f>HLOOKUP(TEXT(B94,"MMM"),'Monthly_Targets '!$A$1:$M$11, MATCH(Sales_Enriched!E94,'Monthly_Targets '!$A$1:$A$11,0),FALSE)</f>
        <v>782000</v>
      </c>
      <c r="Q94" t="str">
        <f t="shared" si="8"/>
        <v>High Discount</v>
      </c>
      <c r="R94" t="str">
        <f t="shared" si="9"/>
        <v>Poor</v>
      </c>
    </row>
    <row r="95" spans="1:18" x14ac:dyDescent="0.3">
      <c r="A95" s="3" t="s">
        <v>512</v>
      </c>
      <c r="B95" s="20">
        <v>45059</v>
      </c>
      <c r="C95" s="3" t="s">
        <v>44</v>
      </c>
      <c r="D95" s="3" t="s">
        <v>221</v>
      </c>
      <c r="E95" s="3" t="s">
        <v>163</v>
      </c>
      <c r="F95" s="3">
        <v>8</v>
      </c>
      <c r="G95" s="3">
        <v>5</v>
      </c>
      <c r="H95" t="str">
        <f>INDEX(Products!$B:$B,MATCH(Sales_Enriched!C95,Products!$A:$A,0))</f>
        <v>Philips LED Bulb 9W</v>
      </c>
      <c r="I95" t="str">
        <f>INDEX(Products!$C:$C, MATCH(Sales_Enriched!C95,Products!$A:$A,0))</f>
        <v>Electronics</v>
      </c>
      <c r="J95" s="11">
        <f>INDEX(Products!$F:$F, MATCH(Sales_Enriched!C95,Products!$A:$A,0))</f>
        <v>129</v>
      </c>
      <c r="K95" t="str">
        <f>INDEX(Customers!$B:$B, MATCH(Sales_Enriched!D95,Customers!$A:$A,0))</f>
        <v>Suresh Ghosh</v>
      </c>
      <c r="L95" t="str">
        <f>INDEX(Customers!$C:$C, MATCH(Sales_Enriched!D95,Customers!$A:$A,0))</f>
        <v>Kolkata</v>
      </c>
      <c r="M95" s="11">
        <f t="shared" si="5"/>
        <v>1032</v>
      </c>
      <c r="N95" s="11">
        <f t="shared" si="6"/>
        <v>51.6</v>
      </c>
      <c r="O95" s="11">
        <f t="shared" si="7"/>
        <v>980.4</v>
      </c>
      <c r="P95">
        <f>HLOOKUP(TEXT(B95,"MMM"),'Monthly_Targets '!$A$1:$M$11, MATCH(Sales_Enriched!E95,'Monthly_Targets '!$A$1:$A$11,0),FALSE)</f>
        <v>653200</v>
      </c>
      <c r="Q95" t="str">
        <f t="shared" si="8"/>
        <v>Low Discount</v>
      </c>
      <c r="R95" t="str">
        <f t="shared" si="9"/>
        <v>Poor</v>
      </c>
    </row>
    <row r="96" spans="1:18" x14ac:dyDescent="0.3">
      <c r="A96" s="2" t="s">
        <v>514</v>
      </c>
      <c r="B96" s="19">
        <v>45067</v>
      </c>
      <c r="C96" s="2" t="s">
        <v>80</v>
      </c>
      <c r="D96" s="2" t="s">
        <v>195</v>
      </c>
      <c r="E96" s="2" t="s">
        <v>142</v>
      </c>
      <c r="F96" s="2">
        <v>4</v>
      </c>
      <c r="G96" s="2">
        <v>5</v>
      </c>
      <c r="H96" t="str">
        <f>INDEX(Products!$B:$B,MATCH(Sales_Enriched!C96,Products!$A:$A,0))</f>
        <v>Prestige Cooker 5L</v>
      </c>
      <c r="I96" t="str">
        <f>INDEX(Products!$C:$C, MATCH(Sales_Enriched!C96,Products!$A:$A,0))</f>
        <v>Kitchenware</v>
      </c>
      <c r="J96" s="11">
        <f>INDEX(Products!$F:$F, MATCH(Sales_Enriched!C96,Products!$A:$A,0))</f>
        <v>1850</v>
      </c>
      <c r="K96" t="str">
        <f>INDEX(Customers!$B:$B, MATCH(Sales_Enriched!D96,Customers!$A:$A,0))</f>
        <v>Vikram Nair</v>
      </c>
      <c r="L96" t="str">
        <f>INDEX(Customers!$C:$C, MATCH(Sales_Enriched!D96,Customers!$A:$A,0))</f>
        <v>Bangalore</v>
      </c>
      <c r="M96" s="11">
        <f t="shared" si="5"/>
        <v>7400</v>
      </c>
      <c r="N96" s="11">
        <f t="shared" si="6"/>
        <v>370</v>
      </c>
      <c r="O96" s="11">
        <f t="shared" si="7"/>
        <v>7030</v>
      </c>
      <c r="P96">
        <f>HLOOKUP(TEXT(B96,"MMM"),'Monthly_Targets '!$A$1:$M$11, MATCH(Sales_Enriched!E96,'Monthly_Targets '!$A$1:$A$11,0),FALSE)</f>
        <v>699200</v>
      </c>
      <c r="Q96" t="str">
        <f t="shared" si="8"/>
        <v>Low Discount</v>
      </c>
      <c r="R96" t="str">
        <f t="shared" si="9"/>
        <v>Poor</v>
      </c>
    </row>
    <row r="97" spans="1:18" x14ac:dyDescent="0.3">
      <c r="A97" s="3" t="s">
        <v>516</v>
      </c>
      <c r="B97" s="20">
        <v>45098</v>
      </c>
      <c r="C97" s="3" t="s">
        <v>60</v>
      </c>
      <c r="D97" s="3" t="s">
        <v>258</v>
      </c>
      <c r="E97" s="3" t="s">
        <v>126</v>
      </c>
      <c r="F97" s="3">
        <v>3</v>
      </c>
      <c r="G97" s="3">
        <v>0</v>
      </c>
      <c r="H97" t="str">
        <f>INDEX(Products!$B:$B,MATCH(Sales_Enriched!C97,Products!$A:$A,0))</f>
        <v>Lakme Lipstick</v>
      </c>
      <c r="I97" t="str">
        <f>INDEX(Products!$C:$C, MATCH(Sales_Enriched!C97,Products!$A:$A,0))</f>
        <v>Beauty</v>
      </c>
      <c r="J97" s="11">
        <f>INDEX(Products!$F:$F, MATCH(Sales_Enriched!C97,Products!$A:$A,0))</f>
        <v>350</v>
      </c>
      <c r="K97" t="str">
        <f>INDEX(Customers!$B:$B, MATCH(Sales_Enriched!D97,Customers!$A:$A,0))</f>
        <v>Sudha Sharma</v>
      </c>
      <c r="L97" t="str">
        <f>INDEX(Customers!$C:$C, MATCH(Sales_Enriched!D97,Customers!$A:$A,0))</f>
        <v>Bangalore</v>
      </c>
      <c r="M97" s="11">
        <f t="shared" si="5"/>
        <v>1050</v>
      </c>
      <c r="N97" s="11">
        <f t="shared" si="6"/>
        <v>0</v>
      </c>
      <c r="O97" s="11">
        <f t="shared" si="7"/>
        <v>1050</v>
      </c>
      <c r="P97">
        <f>HLOOKUP(TEXT(B97,"MMM"),'Monthly_Targets '!$A$1:$M$11, MATCH(Sales_Enriched!E97,'Monthly_Targets '!$A$1:$A$11,0),FALSE)</f>
        <v>457600</v>
      </c>
      <c r="Q97" t="str">
        <f t="shared" si="8"/>
        <v>No Discount</v>
      </c>
      <c r="R97" t="str">
        <f t="shared" si="9"/>
        <v>Poor</v>
      </c>
    </row>
    <row r="98" spans="1:18" x14ac:dyDescent="0.3">
      <c r="A98" s="2" t="s">
        <v>518</v>
      </c>
      <c r="B98" s="19">
        <v>45045</v>
      </c>
      <c r="C98" s="2" t="s">
        <v>69</v>
      </c>
      <c r="D98" s="2" t="s">
        <v>204</v>
      </c>
      <c r="E98" s="2" t="s">
        <v>138</v>
      </c>
      <c r="F98" s="2">
        <v>2</v>
      </c>
      <c r="G98" s="2">
        <v>10</v>
      </c>
      <c r="H98" t="str">
        <f>INDEX(Products!$B:$B,MATCH(Sales_Enriched!C98,Products!$A:$A,0))</f>
        <v>Levis Jeans</v>
      </c>
      <c r="I98" t="str">
        <f>INDEX(Products!$C:$C, MATCH(Sales_Enriched!C98,Products!$A:$A,0))</f>
        <v>Apparel</v>
      </c>
      <c r="J98" s="11">
        <f>INDEX(Products!$F:$F, MATCH(Sales_Enriched!C98,Products!$A:$A,0))</f>
        <v>2499</v>
      </c>
      <c r="K98" t="str">
        <f>INDEX(Customers!$B:$B, MATCH(Sales_Enriched!D98,Customers!$A:$A,0))</f>
        <v>Rohan Gupta</v>
      </c>
      <c r="L98" t="str">
        <f>INDEX(Customers!$C:$C, MATCH(Sales_Enriched!D98,Customers!$A:$A,0))</f>
        <v>Delhi</v>
      </c>
      <c r="M98" s="11">
        <f t="shared" si="5"/>
        <v>4998</v>
      </c>
      <c r="N98" s="11">
        <f t="shared" si="6"/>
        <v>499.8</v>
      </c>
      <c r="O98" s="11">
        <f t="shared" si="7"/>
        <v>4498.2</v>
      </c>
      <c r="P98">
        <f>HLOOKUP(TEXT(B98,"MMM"),'Monthly_Targets '!$A$1:$M$11, MATCH(Sales_Enriched!E98,'Monthly_Targets '!$A$1:$A$11,0),FALSE)</f>
        <v>432000</v>
      </c>
      <c r="Q98" t="str">
        <f t="shared" si="8"/>
        <v>Low Discount</v>
      </c>
      <c r="R98" t="str">
        <f t="shared" si="9"/>
        <v>Poor</v>
      </c>
    </row>
    <row r="99" spans="1:18" x14ac:dyDescent="0.3">
      <c r="A99" s="3" t="s">
        <v>520</v>
      </c>
      <c r="B99" s="20">
        <v>45135</v>
      </c>
      <c r="C99" s="3" t="s">
        <v>60</v>
      </c>
      <c r="D99" s="3" t="s">
        <v>258</v>
      </c>
      <c r="E99" s="3" t="s">
        <v>159</v>
      </c>
      <c r="F99" s="3">
        <v>7</v>
      </c>
      <c r="G99" s="3">
        <v>0</v>
      </c>
      <c r="H99" t="str">
        <f>INDEX(Products!$B:$B,MATCH(Sales_Enriched!C99,Products!$A:$A,0))</f>
        <v>Lakme Lipstick</v>
      </c>
      <c r="I99" t="str">
        <f>INDEX(Products!$C:$C, MATCH(Sales_Enriched!C99,Products!$A:$A,0))</f>
        <v>Beauty</v>
      </c>
      <c r="J99" s="11">
        <f>INDEX(Products!$F:$F, MATCH(Sales_Enriched!C99,Products!$A:$A,0))</f>
        <v>350</v>
      </c>
      <c r="K99" t="str">
        <f>INDEX(Customers!$B:$B, MATCH(Sales_Enriched!D99,Customers!$A:$A,0))</f>
        <v>Sudha Sharma</v>
      </c>
      <c r="L99" t="str">
        <f>INDEX(Customers!$C:$C, MATCH(Sales_Enriched!D99,Customers!$A:$A,0))</f>
        <v>Bangalore</v>
      </c>
      <c r="M99" s="11">
        <f t="shared" si="5"/>
        <v>2450</v>
      </c>
      <c r="N99" s="11">
        <f t="shared" si="6"/>
        <v>0</v>
      </c>
      <c r="O99" s="11">
        <f t="shared" si="7"/>
        <v>2450</v>
      </c>
      <c r="P99">
        <f>HLOOKUP(TEXT(B99,"MMM"),'Monthly_Targets '!$A$1:$M$11, MATCH(Sales_Enriched!E99,'Monthly_Targets '!$A$1:$A$11,0),FALSE)</f>
        <v>336100</v>
      </c>
      <c r="Q99" t="str">
        <f t="shared" si="8"/>
        <v>No Discount</v>
      </c>
      <c r="R99" t="str">
        <f t="shared" si="9"/>
        <v>Poor</v>
      </c>
    </row>
    <row r="100" spans="1:18" x14ac:dyDescent="0.3">
      <c r="A100" s="2" t="s">
        <v>522</v>
      </c>
      <c r="B100" s="19">
        <v>45032</v>
      </c>
      <c r="C100" s="2" t="s">
        <v>75</v>
      </c>
      <c r="D100" s="2" t="s">
        <v>238</v>
      </c>
      <c r="E100" s="2" t="s">
        <v>170</v>
      </c>
      <c r="F100" s="2">
        <v>1</v>
      </c>
      <c r="G100" s="2">
        <v>10</v>
      </c>
      <c r="H100" t="str">
        <f>INDEX(Products!$B:$B,MATCH(Sales_Enriched!C100,Products!$A:$A,0))</f>
        <v>Nike T-Shirt</v>
      </c>
      <c r="I100" t="str">
        <f>INDEX(Products!$C:$C, MATCH(Sales_Enriched!C100,Products!$A:$A,0))</f>
        <v>Apparel</v>
      </c>
      <c r="J100" s="11">
        <f>INDEX(Products!$F:$F, MATCH(Sales_Enriched!C100,Products!$A:$A,0))</f>
        <v>1299</v>
      </c>
      <c r="K100" t="str">
        <f>INDEX(Customers!$B:$B, MATCH(Sales_Enriched!D100,Customers!$A:$A,0))</f>
        <v>Sanjay Iyer</v>
      </c>
      <c r="L100" t="str">
        <f>INDEX(Customers!$C:$C, MATCH(Sales_Enriched!D100,Customers!$A:$A,0))</f>
        <v>Chennai</v>
      </c>
      <c r="M100" s="11">
        <f t="shared" si="5"/>
        <v>1299</v>
      </c>
      <c r="N100" s="11">
        <f t="shared" si="6"/>
        <v>129.9</v>
      </c>
      <c r="O100" s="11">
        <f t="shared" si="7"/>
        <v>1169.0999999999999</v>
      </c>
      <c r="P100">
        <f>HLOOKUP(TEXT(B100,"MMM"),'Monthly_Targets '!$A$1:$M$11, MATCH(Sales_Enriched!E100,'Monthly_Targets '!$A$1:$A$11,0),FALSE)</f>
        <v>351000</v>
      </c>
      <c r="Q100" t="str">
        <f t="shared" si="8"/>
        <v>Low Discount</v>
      </c>
      <c r="R100" t="str">
        <f t="shared" si="9"/>
        <v>Poor</v>
      </c>
    </row>
    <row r="101" spans="1:18" x14ac:dyDescent="0.3">
      <c r="A101" s="3" t="s">
        <v>524</v>
      </c>
      <c r="B101" s="20">
        <v>45171</v>
      </c>
      <c r="C101" s="3" t="s">
        <v>8</v>
      </c>
      <c r="D101" s="3" t="s">
        <v>234</v>
      </c>
      <c r="E101" s="3" t="s">
        <v>142</v>
      </c>
      <c r="F101" s="3">
        <v>7</v>
      </c>
      <c r="G101" s="3">
        <v>10</v>
      </c>
      <c r="H101" t="str">
        <f>INDEX(Products!$B:$B,MATCH(Sales_Enriched!C101,Products!$A:$A,0))</f>
        <v>Basmati Rice 5kg</v>
      </c>
      <c r="I101" t="str">
        <f>INDEX(Products!$C:$C, MATCH(Sales_Enriched!C101,Products!$A:$A,0))</f>
        <v>Grocery</v>
      </c>
      <c r="J101" s="11">
        <f>INDEX(Products!$F:$F, MATCH(Sales_Enriched!C101,Products!$A:$A,0))</f>
        <v>320</v>
      </c>
      <c r="K101" t="str">
        <f>INDEX(Customers!$B:$B, MATCH(Sales_Enriched!D101,Customers!$A:$A,0))</f>
        <v>Anita Kapoor</v>
      </c>
      <c r="L101" t="str">
        <f>INDEX(Customers!$C:$C, MATCH(Sales_Enriched!D101,Customers!$A:$A,0))</f>
        <v>Mumbai</v>
      </c>
      <c r="M101" s="11">
        <f t="shared" si="5"/>
        <v>2240</v>
      </c>
      <c r="N101" s="11">
        <f t="shared" si="6"/>
        <v>224</v>
      </c>
      <c r="O101" s="11">
        <f t="shared" si="7"/>
        <v>2016</v>
      </c>
      <c r="P101">
        <f>HLOOKUP(TEXT(B101,"MMM"),'Monthly_Targets '!$A$1:$M$11, MATCH(Sales_Enriched!E101,'Monthly_Targets '!$A$1:$A$11,0),FALSE)</f>
        <v>722000</v>
      </c>
      <c r="Q101" t="str">
        <f t="shared" si="8"/>
        <v>Low Discount</v>
      </c>
      <c r="R101" t="str">
        <f t="shared" si="9"/>
        <v>Poor</v>
      </c>
    </row>
    <row r="102" spans="1:18" x14ac:dyDescent="0.3">
      <c r="A102" s="2" t="s">
        <v>526</v>
      </c>
      <c r="B102" s="19">
        <v>45202</v>
      </c>
      <c r="C102" s="2" t="s">
        <v>96</v>
      </c>
      <c r="D102" s="2" t="s">
        <v>266</v>
      </c>
      <c r="E102" s="2" t="s">
        <v>138</v>
      </c>
      <c r="F102" s="2">
        <v>8</v>
      </c>
      <c r="G102" s="2">
        <v>5</v>
      </c>
      <c r="H102" t="str">
        <f>INDEX(Products!$B:$B,MATCH(Sales_Enriched!C102,Products!$A:$A,0))</f>
        <v>Maggi Noodles 12pk</v>
      </c>
      <c r="I102" t="str">
        <f>INDEX(Products!$C:$C, MATCH(Sales_Enriched!C102,Products!$A:$A,0))</f>
        <v>Grocery</v>
      </c>
      <c r="J102" s="11">
        <f>INDEX(Products!$F:$F, MATCH(Sales_Enriched!C102,Products!$A:$A,0))</f>
        <v>180</v>
      </c>
      <c r="K102" t="str">
        <f>INDEX(Customers!$B:$B, MATCH(Sales_Enriched!D102,Customers!$A:$A,0))</f>
        <v>Lalita Das</v>
      </c>
      <c r="L102" t="str">
        <f>INDEX(Customers!$C:$C, MATCH(Sales_Enriched!D102,Customers!$A:$A,0))</f>
        <v>Kolkata</v>
      </c>
      <c r="M102" s="11">
        <f t="shared" si="5"/>
        <v>1440</v>
      </c>
      <c r="N102" s="11">
        <f t="shared" si="6"/>
        <v>72</v>
      </c>
      <c r="O102" s="11">
        <f t="shared" si="7"/>
        <v>1368</v>
      </c>
      <c r="P102">
        <f>HLOOKUP(TEXT(B102,"MMM"),'Monthly_Targets '!$A$1:$M$11, MATCH(Sales_Enriched!E102,'Monthly_Targets '!$A$1:$A$11,0),FALSE)</f>
        <v>528000</v>
      </c>
      <c r="Q102" t="str">
        <f t="shared" si="8"/>
        <v>Low Discount</v>
      </c>
      <c r="R102" t="str">
        <f t="shared" si="9"/>
        <v>Poor</v>
      </c>
    </row>
    <row r="103" spans="1:18" x14ac:dyDescent="0.3">
      <c r="A103" s="3" t="s">
        <v>527</v>
      </c>
      <c r="B103" s="20">
        <v>45066</v>
      </c>
      <c r="C103" s="3" t="s">
        <v>75</v>
      </c>
      <c r="D103" s="3" t="s">
        <v>250</v>
      </c>
      <c r="E103" s="3" t="s">
        <v>119</v>
      </c>
      <c r="F103" s="3">
        <v>7</v>
      </c>
      <c r="G103" s="3">
        <v>10</v>
      </c>
      <c r="H103" t="str">
        <f>INDEX(Products!$B:$B,MATCH(Sales_Enriched!C103,Products!$A:$A,0))</f>
        <v>Nike T-Shirt</v>
      </c>
      <c r="I103" t="str">
        <f>INDEX(Products!$C:$C, MATCH(Sales_Enriched!C103,Products!$A:$A,0))</f>
        <v>Apparel</v>
      </c>
      <c r="J103" s="11">
        <f>INDEX(Products!$F:$F, MATCH(Sales_Enriched!C103,Products!$A:$A,0))</f>
        <v>1299</v>
      </c>
      <c r="K103" t="str">
        <f>INDEX(Customers!$B:$B, MATCH(Sales_Enriched!D103,Customers!$A:$A,0))</f>
        <v>Rekha Pillai</v>
      </c>
      <c r="L103" t="str">
        <f>INDEX(Customers!$C:$C, MATCH(Sales_Enriched!D103,Customers!$A:$A,0))</f>
        <v>Chennai</v>
      </c>
      <c r="M103" s="11">
        <f t="shared" si="5"/>
        <v>9093</v>
      </c>
      <c r="N103" s="11">
        <f t="shared" si="6"/>
        <v>909.30000000000007</v>
      </c>
      <c r="O103" s="11">
        <f t="shared" si="7"/>
        <v>8183.7</v>
      </c>
      <c r="P103">
        <f>HLOOKUP(TEXT(B103,"MMM"),'Monthly_Targets '!$A$1:$M$11, MATCH(Sales_Enriched!E103,'Monthly_Targets '!$A$1:$A$11,0),FALSE)</f>
        <v>782000</v>
      </c>
      <c r="Q103" t="str">
        <f t="shared" si="8"/>
        <v>Low Discount</v>
      </c>
      <c r="R103" t="str">
        <f t="shared" si="9"/>
        <v>Poor</v>
      </c>
    </row>
    <row r="104" spans="1:18" x14ac:dyDescent="0.3">
      <c r="A104" s="2" t="s">
        <v>529</v>
      </c>
      <c r="B104" s="19">
        <v>45269</v>
      </c>
      <c r="C104" s="2" t="s">
        <v>69</v>
      </c>
      <c r="D104" s="2" t="s">
        <v>208</v>
      </c>
      <c r="E104" s="2" t="s">
        <v>159</v>
      </c>
      <c r="F104" s="2">
        <v>3</v>
      </c>
      <c r="G104" s="2">
        <v>20</v>
      </c>
      <c r="H104" t="str">
        <f>INDEX(Products!$B:$B,MATCH(Sales_Enriched!C104,Products!$A:$A,0))</f>
        <v>Levis Jeans</v>
      </c>
      <c r="I104" t="str">
        <f>INDEX(Products!$C:$C, MATCH(Sales_Enriched!C104,Products!$A:$A,0))</f>
        <v>Apparel</v>
      </c>
      <c r="J104" s="11">
        <f>INDEX(Products!$F:$F, MATCH(Sales_Enriched!C104,Products!$A:$A,0))</f>
        <v>2499</v>
      </c>
      <c r="K104" t="str">
        <f>INDEX(Customers!$B:$B, MATCH(Sales_Enriched!D104,Customers!$A:$A,0))</f>
        <v>Deepa Menon</v>
      </c>
      <c r="L104" t="str">
        <f>INDEX(Customers!$C:$C, MATCH(Sales_Enriched!D104,Customers!$A:$A,0))</f>
        <v>Mumbai</v>
      </c>
      <c r="M104" s="11">
        <f t="shared" si="5"/>
        <v>7497</v>
      </c>
      <c r="N104" s="11">
        <f t="shared" si="6"/>
        <v>1499.4</v>
      </c>
      <c r="O104" s="11">
        <f t="shared" si="7"/>
        <v>5997.6</v>
      </c>
      <c r="P104">
        <f>HLOOKUP(TEXT(B104,"MMM"),'Monthly_Targets '!$A$1:$M$11, MATCH(Sales_Enriched!E104,'Monthly_Targets '!$A$1:$A$11,0),FALSE)</f>
        <v>533000</v>
      </c>
      <c r="Q104" t="str">
        <f t="shared" si="8"/>
        <v>High Discount</v>
      </c>
      <c r="R104" t="str">
        <f t="shared" si="9"/>
        <v>Poor</v>
      </c>
    </row>
    <row r="105" spans="1:18" x14ac:dyDescent="0.3">
      <c r="A105" s="3" t="s">
        <v>530</v>
      </c>
      <c r="B105" s="20">
        <v>44940</v>
      </c>
      <c r="C105" s="3" t="s">
        <v>69</v>
      </c>
      <c r="D105" s="3" t="s">
        <v>262</v>
      </c>
      <c r="E105" s="3" t="s">
        <v>170</v>
      </c>
      <c r="F105" s="3">
        <v>1</v>
      </c>
      <c r="G105" s="3">
        <v>0</v>
      </c>
      <c r="H105" t="str">
        <f>INDEX(Products!$B:$B,MATCH(Sales_Enriched!C105,Products!$A:$A,0))</f>
        <v>Levis Jeans</v>
      </c>
      <c r="I105" t="str">
        <f>INDEX(Products!$C:$C, MATCH(Sales_Enriched!C105,Products!$A:$A,0))</f>
        <v>Apparel</v>
      </c>
      <c r="J105" s="11">
        <f>INDEX(Products!$F:$F, MATCH(Sales_Enriched!C105,Products!$A:$A,0))</f>
        <v>2499</v>
      </c>
      <c r="K105" t="str">
        <f>INDEX(Customers!$B:$B, MATCH(Sales_Enriched!D105,Customers!$A:$A,0))</f>
        <v>Kiran Reddy</v>
      </c>
      <c r="L105" t="str">
        <f>INDEX(Customers!$C:$C, MATCH(Sales_Enriched!D105,Customers!$A:$A,0))</f>
        <v>Mumbai</v>
      </c>
      <c r="M105" s="11">
        <f t="shared" si="5"/>
        <v>2499</v>
      </c>
      <c r="N105" s="11">
        <f t="shared" si="6"/>
        <v>0</v>
      </c>
      <c r="O105" s="11">
        <f t="shared" si="7"/>
        <v>2499</v>
      </c>
      <c r="P105">
        <f>HLOOKUP(TEXT(B105,"MMM"),'Monthly_Targets '!$A$1:$M$11, MATCH(Sales_Enriched!E105,'Monthly_Targets '!$A$1:$A$11,0),FALSE)</f>
        <v>331500</v>
      </c>
      <c r="Q105" t="str">
        <f t="shared" si="8"/>
        <v>No Discount</v>
      </c>
      <c r="R105" t="str">
        <f t="shared" si="9"/>
        <v>Poor</v>
      </c>
    </row>
    <row r="106" spans="1:18" x14ac:dyDescent="0.3">
      <c r="A106" s="2" t="s">
        <v>532</v>
      </c>
      <c r="B106" s="19">
        <v>45256</v>
      </c>
      <c r="C106" s="2" t="s">
        <v>75</v>
      </c>
      <c r="D106" s="2" t="s">
        <v>204</v>
      </c>
      <c r="E106" s="2" t="s">
        <v>159</v>
      </c>
      <c r="F106" s="2">
        <v>3</v>
      </c>
      <c r="G106" s="2">
        <v>0</v>
      </c>
      <c r="H106" t="str">
        <f>INDEX(Products!$B:$B,MATCH(Sales_Enriched!C106,Products!$A:$A,0))</f>
        <v>Nike T-Shirt</v>
      </c>
      <c r="I106" t="str">
        <f>INDEX(Products!$C:$C, MATCH(Sales_Enriched!C106,Products!$A:$A,0))</f>
        <v>Apparel</v>
      </c>
      <c r="J106" s="11">
        <f>INDEX(Products!$F:$F, MATCH(Sales_Enriched!C106,Products!$A:$A,0))</f>
        <v>1299</v>
      </c>
      <c r="K106" t="str">
        <f>INDEX(Customers!$B:$B, MATCH(Sales_Enriched!D106,Customers!$A:$A,0))</f>
        <v>Rohan Gupta</v>
      </c>
      <c r="L106" t="str">
        <f>INDEX(Customers!$C:$C, MATCH(Sales_Enriched!D106,Customers!$A:$A,0))</f>
        <v>Delhi</v>
      </c>
      <c r="M106" s="11">
        <f t="shared" si="5"/>
        <v>3897</v>
      </c>
      <c r="N106" s="11">
        <f t="shared" si="6"/>
        <v>0</v>
      </c>
      <c r="O106" s="11">
        <f t="shared" si="7"/>
        <v>3897</v>
      </c>
      <c r="P106">
        <f>HLOOKUP(TEXT(B106,"MMM"),'Monthly_Targets '!$A$1:$M$11, MATCH(Sales_Enriched!E106,'Monthly_Targets '!$A$1:$A$11,0),FALSE)</f>
        <v>492000</v>
      </c>
      <c r="Q106" t="str">
        <f t="shared" si="8"/>
        <v>No Discount</v>
      </c>
      <c r="R106" t="str">
        <f t="shared" si="9"/>
        <v>Poor</v>
      </c>
    </row>
    <row r="107" spans="1:18" x14ac:dyDescent="0.3">
      <c r="A107" s="3" t="s">
        <v>534</v>
      </c>
      <c r="B107" s="20">
        <v>45060</v>
      </c>
      <c r="C107" s="3" t="s">
        <v>69</v>
      </c>
      <c r="D107" s="3" t="s">
        <v>230</v>
      </c>
      <c r="E107" s="3" t="s">
        <v>138</v>
      </c>
      <c r="F107" s="3">
        <v>8</v>
      </c>
      <c r="G107" s="3">
        <v>10</v>
      </c>
      <c r="H107" t="str">
        <f>INDEX(Products!$B:$B,MATCH(Sales_Enriched!C107,Products!$A:$A,0))</f>
        <v>Levis Jeans</v>
      </c>
      <c r="I107" t="str">
        <f>INDEX(Products!$C:$C, MATCH(Sales_Enriched!C107,Products!$A:$A,0))</f>
        <v>Apparel</v>
      </c>
      <c r="J107" s="11">
        <f>INDEX(Products!$F:$F, MATCH(Sales_Enriched!C107,Products!$A:$A,0))</f>
        <v>2499</v>
      </c>
      <c r="K107" t="str">
        <f>INDEX(Customers!$B:$B, MATCH(Sales_Enriched!D107,Customers!$A:$A,0))</f>
        <v>Manish Joshi</v>
      </c>
      <c r="L107" t="str">
        <f>INDEX(Customers!$C:$C, MATCH(Sales_Enriched!D107,Customers!$A:$A,0))</f>
        <v>Delhi</v>
      </c>
      <c r="M107" s="11">
        <f t="shared" si="5"/>
        <v>19992</v>
      </c>
      <c r="N107" s="11">
        <f t="shared" si="6"/>
        <v>1999.2</v>
      </c>
      <c r="O107" s="11">
        <f t="shared" si="7"/>
        <v>17992.8</v>
      </c>
      <c r="P107">
        <f>HLOOKUP(TEXT(B107,"MMM"),'Monthly_Targets '!$A$1:$M$11, MATCH(Sales_Enriched!E107,'Monthly_Targets '!$A$1:$A$11,0),FALSE)</f>
        <v>441600</v>
      </c>
      <c r="Q107" t="str">
        <f t="shared" si="8"/>
        <v>Low Discount</v>
      </c>
      <c r="R107" t="str">
        <f t="shared" si="9"/>
        <v>Poor</v>
      </c>
    </row>
    <row r="108" spans="1:18" x14ac:dyDescent="0.3">
      <c r="A108" s="2" t="s">
        <v>536</v>
      </c>
      <c r="B108" s="19">
        <v>45099</v>
      </c>
      <c r="C108" s="2" t="s">
        <v>69</v>
      </c>
      <c r="D108" s="2" t="s">
        <v>221</v>
      </c>
      <c r="E108" s="2" t="s">
        <v>153</v>
      </c>
      <c r="F108" s="2">
        <v>5</v>
      </c>
      <c r="G108" s="2">
        <v>0</v>
      </c>
      <c r="H108" t="str">
        <f>INDEX(Products!$B:$B,MATCH(Sales_Enriched!C108,Products!$A:$A,0))</f>
        <v>Levis Jeans</v>
      </c>
      <c r="I108" t="str">
        <f>INDEX(Products!$C:$C, MATCH(Sales_Enriched!C108,Products!$A:$A,0))</f>
        <v>Apparel</v>
      </c>
      <c r="J108" s="11">
        <f>INDEX(Products!$F:$F, MATCH(Sales_Enriched!C108,Products!$A:$A,0))</f>
        <v>2499</v>
      </c>
      <c r="K108" t="str">
        <f>INDEX(Customers!$B:$B, MATCH(Sales_Enriched!D108,Customers!$A:$A,0))</f>
        <v>Suresh Ghosh</v>
      </c>
      <c r="L108" t="str">
        <f>INDEX(Customers!$C:$C, MATCH(Sales_Enriched!D108,Customers!$A:$A,0))</f>
        <v>Kolkata</v>
      </c>
      <c r="M108" s="11">
        <f t="shared" si="5"/>
        <v>12495</v>
      </c>
      <c r="N108" s="11">
        <f t="shared" si="6"/>
        <v>0</v>
      </c>
      <c r="O108" s="11">
        <f t="shared" si="7"/>
        <v>12495</v>
      </c>
      <c r="P108">
        <f>HLOOKUP(TEXT(B108,"MMM"),'Monthly_Targets '!$A$1:$M$11, MATCH(Sales_Enriched!E108,'Monthly_Targets '!$A$1:$A$11,0),FALSE)</f>
        <v>598400</v>
      </c>
      <c r="Q108" t="str">
        <f t="shared" si="8"/>
        <v>No Discount</v>
      </c>
      <c r="R108" t="str">
        <f t="shared" si="9"/>
        <v>Poor</v>
      </c>
    </row>
    <row r="109" spans="1:18" x14ac:dyDescent="0.3">
      <c r="A109" s="3" t="s">
        <v>537</v>
      </c>
      <c r="B109" s="20">
        <v>45167</v>
      </c>
      <c r="C109" s="3" t="s">
        <v>8</v>
      </c>
      <c r="D109" s="3" t="s">
        <v>258</v>
      </c>
      <c r="E109" s="3" t="s">
        <v>119</v>
      </c>
      <c r="F109" s="3">
        <v>6</v>
      </c>
      <c r="G109" s="3">
        <v>5</v>
      </c>
      <c r="H109" t="str">
        <f>INDEX(Products!$B:$B,MATCH(Sales_Enriched!C109,Products!$A:$A,0))</f>
        <v>Basmati Rice 5kg</v>
      </c>
      <c r="I109" t="str">
        <f>INDEX(Products!$C:$C, MATCH(Sales_Enriched!C109,Products!$A:$A,0))</f>
        <v>Grocery</v>
      </c>
      <c r="J109" s="11">
        <f>INDEX(Products!$F:$F, MATCH(Sales_Enriched!C109,Products!$A:$A,0))</f>
        <v>320</v>
      </c>
      <c r="K109" t="str">
        <f>INDEX(Customers!$B:$B, MATCH(Sales_Enriched!D109,Customers!$A:$A,0))</f>
        <v>Sudha Sharma</v>
      </c>
      <c r="L109" t="str">
        <f>INDEX(Customers!$C:$C, MATCH(Sales_Enriched!D109,Customers!$A:$A,0))</f>
        <v>Bangalore</v>
      </c>
      <c r="M109" s="11">
        <f t="shared" si="5"/>
        <v>1920</v>
      </c>
      <c r="N109" s="11">
        <f t="shared" si="6"/>
        <v>96</v>
      </c>
      <c r="O109" s="11">
        <f t="shared" si="7"/>
        <v>1824</v>
      </c>
      <c r="P109">
        <f>HLOOKUP(TEXT(B109,"MMM"),'Monthly_Targets '!$A$1:$M$11, MATCH(Sales_Enriched!E109,'Monthly_Targets '!$A$1:$A$11,0),FALSE)</f>
        <v>722500</v>
      </c>
      <c r="Q109" t="str">
        <f t="shared" si="8"/>
        <v>Low Discount</v>
      </c>
      <c r="R109" t="str">
        <f t="shared" si="9"/>
        <v>Poor</v>
      </c>
    </row>
    <row r="110" spans="1:18" x14ac:dyDescent="0.3">
      <c r="A110" s="2" t="s">
        <v>539</v>
      </c>
      <c r="B110" s="19">
        <v>45259</v>
      </c>
      <c r="C110" s="2" t="s">
        <v>19</v>
      </c>
      <c r="D110" s="2" t="s">
        <v>188</v>
      </c>
      <c r="E110" s="2" t="s">
        <v>119</v>
      </c>
      <c r="F110" s="2">
        <v>4</v>
      </c>
      <c r="G110" s="2">
        <v>5</v>
      </c>
      <c r="H110" t="str">
        <f>INDEX(Products!$B:$B,MATCH(Sales_Enriched!C110,Products!$A:$A,0))</f>
        <v>Sunflower Oil 1L</v>
      </c>
      <c r="I110" t="str">
        <f>INDEX(Products!$C:$C, MATCH(Sales_Enriched!C110,Products!$A:$A,0))</f>
        <v>Grocery</v>
      </c>
      <c r="J110" s="11">
        <f>INDEX(Products!$F:$F, MATCH(Sales_Enriched!C110,Products!$A:$A,0))</f>
        <v>165</v>
      </c>
      <c r="K110" t="str">
        <f>INDEX(Customers!$B:$B, MATCH(Sales_Enriched!D110,Customers!$A:$A,0))</f>
        <v>Priya Singh</v>
      </c>
      <c r="L110" t="str">
        <f>INDEX(Customers!$C:$C, MATCH(Sales_Enriched!D110,Customers!$A:$A,0))</f>
        <v>Mumbai</v>
      </c>
      <c r="M110" s="11">
        <f t="shared" si="5"/>
        <v>660</v>
      </c>
      <c r="N110" s="11">
        <f t="shared" si="6"/>
        <v>33</v>
      </c>
      <c r="O110" s="11">
        <f t="shared" si="7"/>
        <v>627</v>
      </c>
      <c r="P110">
        <f>HLOOKUP(TEXT(B110,"MMM"),'Monthly_Targets '!$A$1:$M$11, MATCH(Sales_Enriched!E110,'Monthly_Targets '!$A$1:$A$11,0),FALSE)</f>
        <v>1020000</v>
      </c>
      <c r="Q110" t="str">
        <f t="shared" si="8"/>
        <v>Low Discount</v>
      </c>
      <c r="R110" t="str">
        <f t="shared" si="9"/>
        <v>Poor</v>
      </c>
    </row>
    <row r="111" spans="1:18" x14ac:dyDescent="0.3">
      <c r="A111" s="3" t="s">
        <v>541</v>
      </c>
      <c r="B111" s="20">
        <v>44937</v>
      </c>
      <c r="C111" s="3" t="s">
        <v>106</v>
      </c>
      <c r="D111" s="3" t="s">
        <v>204</v>
      </c>
      <c r="E111" s="3" t="s">
        <v>138</v>
      </c>
      <c r="F111" s="3">
        <v>3</v>
      </c>
      <c r="G111" s="3">
        <v>15</v>
      </c>
      <c r="H111" t="str">
        <f>INDEX(Products!$B:$B,MATCH(Sales_Enriched!C111,Products!$A:$A,0))</f>
        <v>Woodland Shoes</v>
      </c>
      <c r="I111" t="str">
        <f>INDEX(Products!$C:$C, MATCH(Sales_Enriched!C111,Products!$A:$A,0))</f>
        <v>Apparel</v>
      </c>
      <c r="J111" s="11">
        <f>INDEX(Products!$F:$F, MATCH(Sales_Enriched!C111,Products!$A:$A,0))</f>
        <v>3499</v>
      </c>
      <c r="K111" t="str">
        <f>INDEX(Customers!$B:$B, MATCH(Sales_Enriched!D111,Customers!$A:$A,0))</f>
        <v>Rohan Gupta</v>
      </c>
      <c r="L111" t="str">
        <f>INDEX(Customers!$C:$C, MATCH(Sales_Enriched!D111,Customers!$A:$A,0))</f>
        <v>Delhi</v>
      </c>
      <c r="M111" s="11">
        <f t="shared" si="5"/>
        <v>10497</v>
      </c>
      <c r="N111" s="11">
        <f t="shared" si="6"/>
        <v>1574.55</v>
      </c>
      <c r="O111" s="11">
        <f t="shared" si="7"/>
        <v>8922.4500000000007</v>
      </c>
      <c r="P111">
        <f>HLOOKUP(TEXT(B111,"MMM"),'Monthly_Targets '!$A$1:$M$11, MATCH(Sales_Enriched!E111,'Monthly_Targets '!$A$1:$A$11,0),FALSE)</f>
        <v>408000</v>
      </c>
      <c r="Q111" t="str">
        <f t="shared" si="8"/>
        <v>High Discount</v>
      </c>
      <c r="R111" t="str">
        <f t="shared" si="9"/>
        <v>Poor</v>
      </c>
    </row>
    <row r="112" spans="1:18" x14ac:dyDescent="0.3">
      <c r="A112" s="2" t="s">
        <v>543</v>
      </c>
      <c r="B112" s="19">
        <v>45269</v>
      </c>
      <c r="C112" s="2" t="s">
        <v>24</v>
      </c>
      <c r="D112" s="2" t="s">
        <v>262</v>
      </c>
      <c r="E112" s="2" t="s">
        <v>138</v>
      </c>
      <c r="F112" s="2">
        <v>8</v>
      </c>
      <c r="G112" s="2">
        <v>5</v>
      </c>
      <c r="H112" t="str">
        <f>INDEX(Products!$B:$B,MATCH(Sales_Enriched!C112,Products!$A:$A,0))</f>
        <v>Amul Butter 500g</v>
      </c>
      <c r="I112" t="str">
        <f>INDEX(Products!$C:$C, MATCH(Sales_Enriched!C112,Products!$A:$A,0))</f>
        <v>Dairy</v>
      </c>
      <c r="J112" s="11">
        <f>INDEX(Products!$F:$F, MATCH(Sales_Enriched!C112,Products!$A:$A,0))</f>
        <v>275</v>
      </c>
      <c r="K112" t="str">
        <f>INDEX(Customers!$B:$B, MATCH(Sales_Enriched!D112,Customers!$A:$A,0))</f>
        <v>Kiran Reddy</v>
      </c>
      <c r="L112" t="str">
        <f>INDEX(Customers!$C:$C, MATCH(Sales_Enriched!D112,Customers!$A:$A,0))</f>
        <v>Mumbai</v>
      </c>
      <c r="M112" s="11">
        <f t="shared" si="5"/>
        <v>2200</v>
      </c>
      <c r="N112" s="11">
        <f t="shared" si="6"/>
        <v>110</v>
      </c>
      <c r="O112" s="11">
        <f t="shared" si="7"/>
        <v>2090</v>
      </c>
      <c r="P112">
        <f>HLOOKUP(TEXT(B112,"MMM"),'Monthly_Targets '!$A$1:$M$11, MATCH(Sales_Enriched!E112,'Monthly_Targets '!$A$1:$A$11,0),FALSE)</f>
        <v>624000</v>
      </c>
      <c r="Q112" t="str">
        <f t="shared" si="8"/>
        <v>Low Discount</v>
      </c>
      <c r="R112" t="str">
        <f t="shared" si="9"/>
        <v>Poor</v>
      </c>
    </row>
    <row r="113" spans="1:18" x14ac:dyDescent="0.3">
      <c r="A113" s="3" t="s">
        <v>544</v>
      </c>
      <c r="B113" s="20">
        <v>45115</v>
      </c>
      <c r="C113" s="3" t="s">
        <v>33</v>
      </c>
      <c r="D113" s="3" t="s">
        <v>266</v>
      </c>
      <c r="E113" s="3" t="s">
        <v>170</v>
      </c>
      <c r="F113" s="3">
        <v>2</v>
      </c>
      <c r="G113" s="3">
        <v>0</v>
      </c>
      <c r="H113" t="str">
        <f>INDEX(Products!$B:$B,MATCH(Sales_Enriched!C113,Products!$A:$A,0))</f>
        <v>Samsung 43 Smart TV</v>
      </c>
      <c r="I113" t="str">
        <f>INDEX(Products!$C:$C, MATCH(Sales_Enriched!C113,Products!$A:$A,0))</f>
        <v>Electronics</v>
      </c>
      <c r="J113" s="11">
        <f>INDEX(Products!$F:$F, MATCH(Sales_Enriched!C113,Products!$A:$A,0))</f>
        <v>32999</v>
      </c>
      <c r="K113" t="str">
        <f>INDEX(Customers!$B:$B, MATCH(Sales_Enriched!D113,Customers!$A:$A,0))</f>
        <v>Lalita Das</v>
      </c>
      <c r="L113" t="str">
        <f>INDEX(Customers!$C:$C, MATCH(Sales_Enriched!D113,Customers!$A:$A,0))</f>
        <v>Kolkata</v>
      </c>
      <c r="M113" s="11">
        <f t="shared" si="5"/>
        <v>65998</v>
      </c>
      <c r="N113" s="11">
        <f t="shared" si="6"/>
        <v>0</v>
      </c>
      <c r="O113" s="11">
        <f t="shared" si="7"/>
        <v>65998</v>
      </c>
      <c r="P113">
        <f>HLOOKUP(TEXT(B113,"MMM"),'Monthly_Targets '!$A$1:$M$11, MATCH(Sales_Enriched!E113,'Monthly_Targets '!$A$1:$A$11,0),FALSE)</f>
        <v>319800</v>
      </c>
      <c r="Q113" t="str">
        <f t="shared" si="8"/>
        <v>No Discount</v>
      </c>
      <c r="R113" t="str">
        <f t="shared" si="9"/>
        <v>Poor</v>
      </c>
    </row>
    <row r="114" spans="1:18" x14ac:dyDescent="0.3">
      <c r="A114" s="2" t="s">
        <v>546</v>
      </c>
      <c r="B114" s="19">
        <v>45086</v>
      </c>
      <c r="C114" s="2" t="s">
        <v>24</v>
      </c>
      <c r="D114" s="2" t="s">
        <v>262</v>
      </c>
      <c r="E114" s="2" t="s">
        <v>119</v>
      </c>
      <c r="F114" s="2">
        <v>5</v>
      </c>
      <c r="G114" s="2">
        <v>10</v>
      </c>
      <c r="H114" t="str">
        <f>INDEX(Products!$B:$B,MATCH(Sales_Enriched!C114,Products!$A:$A,0))</f>
        <v>Amul Butter 500g</v>
      </c>
      <c r="I114" t="str">
        <f>INDEX(Products!$C:$C, MATCH(Sales_Enriched!C114,Products!$A:$A,0))</f>
        <v>Dairy</v>
      </c>
      <c r="J114" s="11">
        <f>INDEX(Products!$F:$F, MATCH(Sales_Enriched!C114,Products!$A:$A,0))</f>
        <v>275</v>
      </c>
      <c r="K114" t="str">
        <f>INDEX(Customers!$B:$B, MATCH(Sales_Enriched!D114,Customers!$A:$A,0))</f>
        <v>Kiran Reddy</v>
      </c>
      <c r="L114" t="str">
        <f>INDEX(Customers!$C:$C, MATCH(Sales_Enriched!D114,Customers!$A:$A,0))</f>
        <v>Mumbai</v>
      </c>
      <c r="M114" s="11">
        <f t="shared" si="5"/>
        <v>1375</v>
      </c>
      <c r="N114" s="11">
        <f t="shared" si="6"/>
        <v>137.5</v>
      </c>
      <c r="O114" s="11">
        <f t="shared" si="7"/>
        <v>1237.5</v>
      </c>
      <c r="P114">
        <f>HLOOKUP(TEXT(B114,"MMM"),'Monthly_Targets '!$A$1:$M$11, MATCH(Sales_Enriched!E114,'Monthly_Targets '!$A$1:$A$11,0),FALSE)</f>
        <v>748000</v>
      </c>
      <c r="Q114" t="str">
        <f t="shared" si="8"/>
        <v>Low Discount</v>
      </c>
      <c r="R114" t="str">
        <f t="shared" si="9"/>
        <v>Poor</v>
      </c>
    </row>
    <row r="115" spans="1:18" x14ac:dyDescent="0.3">
      <c r="A115" s="3" t="s">
        <v>547</v>
      </c>
      <c r="B115" s="20">
        <v>45130</v>
      </c>
      <c r="C115" s="3" t="s">
        <v>39</v>
      </c>
      <c r="D115" s="3" t="s">
        <v>195</v>
      </c>
      <c r="E115" s="3" t="s">
        <v>170</v>
      </c>
      <c r="F115" s="3">
        <v>4</v>
      </c>
      <c r="G115" s="3">
        <v>0</v>
      </c>
      <c r="H115" t="str">
        <f>INDEX(Products!$B:$B,MATCH(Sales_Enriched!C115,Products!$A:$A,0))</f>
        <v>boAt Rockerz 450</v>
      </c>
      <c r="I115" t="str">
        <f>INDEX(Products!$C:$C, MATCH(Sales_Enriched!C115,Products!$A:$A,0))</f>
        <v>Electronics</v>
      </c>
      <c r="J115" s="11">
        <f>INDEX(Products!$F:$F, MATCH(Sales_Enriched!C115,Products!$A:$A,0))</f>
        <v>1499</v>
      </c>
      <c r="K115" t="str">
        <f>INDEX(Customers!$B:$B, MATCH(Sales_Enriched!D115,Customers!$A:$A,0))</f>
        <v>Vikram Nair</v>
      </c>
      <c r="L115" t="str">
        <f>INDEX(Customers!$C:$C, MATCH(Sales_Enriched!D115,Customers!$A:$A,0))</f>
        <v>Bangalore</v>
      </c>
      <c r="M115" s="11">
        <f t="shared" si="5"/>
        <v>5996</v>
      </c>
      <c r="N115" s="11">
        <f t="shared" si="6"/>
        <v>0</v>
      </c>
      <c r="O115" s="11">
        <f t="shared" si="7"/>
        <v>5996</v>
      </c>
      <c r="P115">
        <f>HLOOKUP(TEXT(B115,"MMM"),'Monthly_Targets '!$A$1:$M$11, MATCH(Sales_Enriched!E115,'Monthly_Targets '!$A$1:$A$11,0),FALSE)</f>
        <v>319800</v>
      </c>
      <c r="Q115" t="str">
        <f t="shared" si="8"/>
        <v>No Discount</v>
      </c>
      <c r="R115" t="str">
        <f t="shared" si="9"/>
        <v>Poor</v>
      </c>
    </row>
    <row r="116" spans="1:18" x14ac:dyDescent="0.3">
      <c r="A116" s="2" t="s">
        <v>549</v>
      </c>
      <c r="B116" s="19">
        <v>45283</v>
      </c>
      <c r="C116" s="2" t="s">
        <v>55</v>
      </c>
      <c r="D116" s="2" t="s">
        <v>266</v>
      </c>
      <c r="E116" s="2" t="s">
        <v>126</v>
      </c>
      <c r="F116" s="2">
        <v>10</v>
      </c>
      <c r="G116" s="2">
        <v>0</v>
      </c>
      <c r="H116" t="str">
        <f>INDEX(Products!$B:$B,MATCH(Sales_Enriched!C116,Products!$A:$A,0))</f>
        <v>Dettol Handwash 250ml</v>
      </c>
      <c r="I116" t="str">
        <f>INDEX(Products!$C:$C, MATCH(Sales_Enriched!C116,Products!$A:$A,0))</f>
        <v>Home Care</v>
      </c>
      <c r="J116" s="11">
        <f>INDEX(Products!$F:$F, MATCH(Sales_Enriched!C116,Products!$A:$A,0))</f>
        <v>95</v>
      </c>
      <c r="K116" t="str">
        <f>INDEX(Customers!$B:$B, MATCH(Sales_Enriched!D116,Customers!$A:$A,0))</f>
        <v>Lalita Das</v>
      </c>
      <c r="L116" t="str">
        <f>INDEX(Customers!$C:$C, MATCH(Sales_Enriched!D116,Customers!$A:$A,0))</f>
        <v>Kolkata</v>
      </c>
      <c r="M116" s="11">
        <f t="shared" si="5"/>
        <v>950</v>
      </c>
      <c r="N116" s="11">
        <f t="shared" si="6"/>
        <v>0</v>
      </c>
      <c r="O116" s="11">
        <f t="shared" si="7"/>
        <v>950</v>
      </c>
      <c r="P116">
        <f>HLOOKUP(TEXT(B116,"MMM"),'Monthly_Targets '!$A$1:$M$11, MATCH(Sales_Enriched!E116,'Monthly_Targets '!$A$1:$A$11,0),FALSE)</f>
        <v>676000</v>
      </c>
      <c r="Q116" t="str">
        <f t="shared" si="8"/>
        <v>No Discount</v>
      </c>
      <c r="R116" t="str">
        <f t="shared" si="9"/>
        <v>Poor</v>
      </c>
    </row>
    <row r="117" spans="1:18" x14ac:dyDescent="0.3">
      <c r="A117" s="3" t="s">
        <v>551</v>
      </c>
      <c r="B117" s="20">
        <v>45104</v>
      </c>
      <c r="C117" s="3" t="s">
        <v>96</v>
      </c>
      <c r="D117" s="3" t="s">
        <v>242</v>
      </c>
      <c r="E117" s="3" t="s">
        <v>149</v>
      </c>
      <c r="F117" s="3">
        <v>2</v>
      </c>
      <c r="G117" s="3">
        <v>20</v>
      </c>
      <c r="H117" t="str">
        <f>INDEX(Products!$B:$B,MATCH(Sales_Enriched!C117,Products!$A:$A,0))</f>
        <v>Maggi Noodles 12pk</v>
      </c>
      <c r="I117" t="str">
        <f>INDEX(Products!$C:$C, MATCH(Sales_Enriched!C117,Products!$A:$A,0))</f>
        <v>Grocery</v>
      </c>
      <c r="J117" s="11">
        <f>INDEX(Products!$F:$F, MATCH(Sales_Enriched!C117,Products!$A:$A,0))</f>
        <v>180</v>
      </c>
      <c r="K117" t="str">
        <f>INDEX(Customers!$B:$B, MATCH(Sales_Enriched!D117,Customers!$A:$A,0))</f>
        <v>Pooja Verma</v>
      </c>
      <c r="L117" t="str">
        <f>INDEX(Customers!$C:$C, MATCH(Sales_Enriched!D117,Customers!$A:$A,0))</f>
        <v>Bangalore</v>
      </c>
      <c r="M117" s="11">
        <f t="shared" si="5"/>
        <v>360</v>
      </c>
      <c r="N117" s="11">
        <f t="shared" si="6"/>
        <v>72</v>
      </c>
      <c r="O117" s="11">
        <f t="shared" si="7"/>
        <v>288</v>
      </c>
      <c r="P117">
        <f>HLOOKUP(TEXT(B117,"MMM"),'Monthly_Targets '!$A$1:$M$11, MATCH(Sales_Enriched!E117,'Monthly_Targets '!$A$1:$A$11,0),FALSE)</f>
        <v>369600</v>
      </c>
      <c r="Q117" t="str">
        <f t="shared" si="8"/>
        <v>High Discount</v>
      </c>
      <c r="R117" t="str">
        <f t="shared" si="9"/>
        <v>Poor</v>
      </c>
    </row>
    <row r="118" spans="1:18" x14ac:dyDescent="0.3">
      <c r="A118" s="2" t="s">
        <v>553</v>
      </c>
      <c r="B118" s="19">
        <v>45258</v>
      </c>
      <c r="C118" s="2" t="s">
        <v>60</v>
      </c>
      <c r="D118" s="2" t="s">
        <v>181</v>
      </c>
      <c r="E118" s="2" t="s">
        <v>153</v>
      </c>
      <c r="F118" s="2">
        <v>8</v>
      </c>
      <c r="G118" s="2">
        <v>0</v>
      </c>
      <c r="H118" t="str">
        <f>INDEX(Products!$B:$B,MATCH(Sales_Enriched!C118,Products!$A:$A,0))</f>
        <v>Lakme Lipstick</v>
      </c>
      <c r="I118" t="str">
        <f>INDEX(Products!$C:$C, MATCH(Sales_Enriched!C118,Products!$A:$A,0))</f>
        <v>Beauty</v>
      </c>
      <c r="J118" s="11">
        <f>INDEX(Products!$F:$F, MATCH(Sales_Enriched!C118,Products!$A:$A,0))</f>
        <v>350</v>
      </c>
      <c r="K118" t="str">
        <f>INDEX(Customers!$B:$B, MATCH(Sales_Enriched!D118,Customers!$A:$A,0))</f>
        <v>Aarav Sharma</v>
      </c>
      <c r="L118" t="str">
        <f>INDEX(Customers!$C:$C, MATCH(Sales_Enriched!D118,Customers!$A:$A,0))</f>
        <v>Delhi</v>
      </c>
      <c r="M118" s="11">
        <f t="shared" si="5"/>
        <v>2800</v>
      </c>
      <c r="N118" s="11">
        <f t="shared" si="6"/>
        <v>0</v>
      </c>
      <c r="O118" s="11">
        <f t="shared" si="7"/>
        <v>2800</v>
      </c>
      <c r="P118">
        <f>HLOOKUP(TEXT(B118,"MMM"),'Monthly_Targets '!$A$1:$M$11, MATCH(Sales_Enriched!E118,'Monthly_Targets '!$A$1:$A$11,0),FALSE)</f>
        <v>816000</v>
      </c>
      <c r="Q118" t="str">
        <f t="shared" si="8"/>
        <v>No Discount</v>
      </c>
      <c r="R118" t="str">
        <f t="shared" si="9"/>
        <v>Poor</v>
      </c>
    </row>
    <row r="119" spans="1:18" x14ac:dyDescent="0.3">
      <c r="A119" s="3" t="s">
        <v>555</v>
      </c>
      <c r="B119" s="20">
        <v>45148</v>
      </c>
      <c r="C119" s="3" t="s">
        <v>65</v>
      </c>
      <c r="D119" s="3" t="s">
        <v>246</v>
      </c>
      <c r="E119" s="3" t="s">
        <v>131</v>
      </c>
      <c r="F119" s="3">
        <v>7</v>
      </c>
      <c r="G119" s="3">
        <v>0</v>
      </c>
      <c r="H119" t="str">
        <f>INDEX(Products!$B:$B,MATCH(Sales_Enriched!C119,Products!$A:$A,0))</f>
        <v>Dove Shampoo 340ml</v>
      </c>
      <c r="I119" t="str">
        <f>INDEX(Products!$C:$C, MATCH(Sales_Enriched!C119,Products!$A:$A,0))</f>
        <v>Beauty</v>
      </c>
      <c r="J119" s="11">
        <f>INDEX(Products!$F:$F, MATCH(Sales_Enriched!C119,Products!$A:$A,0))</f>
        <v>299</v>
      </c>
      <c r="K119" t="str">
        <f>INDEX(Customers!$B:$B, MATCH(Sales_Enriched!D119,Customers!$A:$A,0))</f>
        <v>Arun Banerjee</v>
      </c>
      <c r="L119" t="str">
        <f>INDEX(Customers!$C:$C, MATCH(Sales_Enriched!D119,Customers!$A:$A,0))</f>
        <v>Kolkata</v>
      </c>
      <c r="M119" s="11">
        <f t="shared" si="5"/>
        <v>2093</v>
      </c>
      <c r="N119" s="11">
        <f t="shared" si="6"/>
        <v>0</v>
      </c>
      <c r="O119" s="11">
        <f t="shared" si="7"/>
        <v>2093</v>
      </c>
      <c r="P119">
        <f>HLOOKUP(TEXT(B119,"MMM"),'Monthly_Targets '!$A$1:$M$11, MATCH(Sales_Enriched!E119,'Monthly_Targets '!$A$1:$A$11,0),FALSE)</f>
        <v>782000</v>
      </c>
      <c r="Q119" t="str">
        <f t="shared" si="8"/>
        <v>No Discount</v>
      </c>
      <c r="R119" t="str">
        <f t="shared" si="9"/>
        <v>Poor</v>
      </c>
    </row>
    <row r="120" spans="1:18" x14ac:dyDescent="0.3">
      <c r="A120" s="2" t="s">
        <v>557</v>
      </c>
      <c r="B120" s="19">
        <v>45194</v>
      </c>
      <c r="C120" s="2" t="s">
        <v>49</v>
      </c>
      <c r="D120" s="2" t="s">
        <v>266</v>
      </c>
      <c r="E120" s="2" t="s">
        <v>163</v>
      </c>
      <c r="F120" s="2">
        <v>8</v>
      </c>
      <c r="G120" s="2">
        <v>15</v>
      </c>
      <c r="H120" t="str">
        <f>INDEX(Products!$B:$B,MATCH(Sales_Enriched!C120,Products!$A:$A,0))</f>
        <v>Surf Excel 1kg</v>
      </c>
      <c r="I120" t="str">
        <f>INDEX(Products!$C:$C, MATCH(Sales_Enriched!C120,Products!$A:$A,0))</f>
        <v>Home Care</v>
      </c>
      <c r="J120" s="11">
        <f>INDEX(Products!$F:$F, MATCH(Sales_Enriched!C120,Products!$A:$A,0))</f>
        <v>210</v>
      </c>
      <c r="K120" t="str">
        <f>INDEX(Customers!$B:$B, MATCH(Sales_Enriched!D120,Customers!$A:$A,0))</f>
        <v>Lalita Das</v>
      </c>
      <c r="L120" t="str">
        <f>INDEX(Customers!$C:$C, MATCH(Sales_Enriched!D120,Customers!$A:$A,0))</f>
        <v>Kolkata</v>
      </c>
      <c r="M120" s="11">
        <f t="shared" si="5"/>
        <v>1680</v>
      </c>
      <c r="N120" s="11">
        <f t="shared" si="6"/>
        <v>252</v>
      </c>
      <c r="O120" s="11">
        <f t="shared" si="7"/>
        <v>1428</v>
      </c>
      <c r="P120">
        <f>HLOOKUP(TEXT(B120,"MMM"),'Monthly_Targets '!$A$1:$M$11, MATCH(Sales_Enriched!E120,'Monthly_Targets '!$A$1:$A$11,0),FALSE)</f>
        <v>674500</v>
      </c>
      <c r="Q120" t="str">
        <f t="shared" si="8"/>
        <v>High Discount</v>
      </c>
      <c r="R120" t="str">
        <f t="shared" si="9"/>
        <v>Poor</v>
      </c>
    </row>
    <row r="121" spans="1:18" x14ac:dyDescent="0.3">
      <c r="A121" s="3" t="s">
        <v>559</v>
      </c>
      <c r="B121" s="20">
        <v>45150</v>
      </c>
      <c r="C121" s="3" t="s">
        <v>101</v>
      </c>
      <c r="D121" s="3" t="s">
        <v>221</v>
      </c>
      <c r="E121" s="3" t="s">
        <v>149</v>
      </c>
      <c r="F121" s="3">
        <v>4</v>
      </c>
      <c r="G121" s="3">
        <v>0</v>
      </c>
      <c r="H121" t="str">
        <f>INDEX(Products!$B:$B,MATCH(Sales_Enriched!C121,Products!$A:$A,0))</f>
        <v>Colgate Toothpaste 200g</v>
      </c>
      <c r="I121" t="str">
        <f>INDEX(Products!$C:$C, MATCH(Sales_Enriched!C121,Products!$A:$A,0))</f>
        <v>Home Care</v>
      </c>
      <c r="J121" s="11">
        <f>INDEX(Products!$F:$F, MATCH(Sales_Enriched!C121,Products!$A:$A,0))</f>
        <v>95</v>
      </c>
      <c r="K121" t="str">
        <f>INDEX(Customers!$B:$B, MATCH(Sales_Enriched!D121,Customers!$A:$A,0))</f>
        <v>Suresh Ghosh</v>
      </c>
      <c r="L121" t="str">
        <f>INDEX(Customers!$C:$C, MATCH(Sales_Enriched!D121,Customers!$A:$A,0))</f>
        <v>Kolkata</v>
      </c>
      <c r="M121" s="11">
        <f t="shared" si="5"/>
        <v>380</v>
      </c>
      <c r="N121" s="11">
        <f t="shared" si="6"/>
        <v>0</v>
      </c>
      <c r="O121" s="11">
        <f t="shared" si="7"/>
        <v>380</v>
      </c>
      <c r="P121">
        <f>HLOOKUP(TEXT(B121,"MMM"),'Monthly_Targets '!$A$1:$M$11, MATCH(Sales_Enriched!E121,'Monthly_Targets '!$A$1:$A$11,0),FALSE)</f>
        <v>357000</v>
      </c>
      <c r="Q121" t="str">
        <f t="shared" si="8"/>
        <v>No Discount</v>
      </c>
      <c r="R121" t="str">
        <f t="shared" si="9"/>
        <v>Poor</v>
      </c>
    </row>
    <row r="122" spans="1:18" x14ac:dyDescent="0.3">
      <c r="A122" s="2" t="s">
        <v>561</v>
      </c>
      <c r="B122" s="19">
        <v>45069</v>
      </c>
      <c r="C122" s="2" t="s">
        <v>80</v>
      </c>
      <c r="D122" s="2" t="s">
        <v>217</v>
      </c>
      <c r="E122" s="2" t="s">
        <v>159</v>
      </c>
      <c r="F122" s="2">
        <v>10</v>
      </c>
      <c r="G122" s="2">
        <v>10</v>
      </c>
      <c r="H122" t="str">
        <f>INDEX(Products!$B:$B,MATCH(Sales_Enriched!C122,Products!$A:$A,0))</f>
        <v>Prestige Cooker 5L</v>
      </c>
      <c r="I122" t="str">
        <f>INDEX(Products!$C:$C, MATCH(Sales_Enriched!C122,Products!$A:$A,0))</f>
        <v>Kitchenware</v>
      </c>
      <c r="J122" s="11">
        <f>INDEX(Products!$F:$F, MATCH(Sales_Enriched!C122,Products!$A:$A,0))</f>
        <v>1850</v>
      </c>
      <c r="K122" t="str">
        <f>INDEX(Customers!$B:$B, MATCH(Sales_Enriched!D122,Customers!$A:$A,0))</f>
        <v>Kavitha Kumar</v>
      </c>
      <c r="L122" t="str">
        <f>INDEX(Customers!$C:$C, MATCH(Sales_Enriched!D122,Customers!$A:$A,0))</f>
        <v>Chennai</v>
      </c>
      <c r="M122" s="11">
        <f t="shared" si="5"/>
        <v>18500</v>
      </c>
      <c r="N122" s="11">
        <f t="shared" si="6"/>
        <v>1850</v>
      </c>
      <c r="O122" s="11">
        <f t="shared" si="7"/>
        <v>16650</v>
      </c>
      <c r="P122">
        <f>HLOOKUP(TEXT(B122,"MMM"),'Monthly_Targets '!$A$1:$M$11, MATCH(Sales_Enriched!E122,'Monthly_Targets '!$A$1:$A$11,0),FALSE)</f>
        <v>377200</v>
      </c>
      <c r="Q122" t="str">
        <f t="shared" si="8"/>
        <v>Low Discount</v>
      </c>
      <c r="R122" t="str">
        <f t="shared" si="9"/>
        <v>Poor</v>
      </c>
    </row>
    <row r="123" spans="1:18" x14ac:dyDescent="0.3">
      <c r="A123" s="3" t="s">
        <v>562</v>
      </c>
      <c r="B123" s="20">
        <v>45099</v>
      </c>
      <c r="C123" s="3" t="s">
        <v>8</v>
      </c>
      <c r="D123" s="3" t="s">
        <v>250</v>
      </c>
      <c r="E123" s="3" t="s">
        <v>149</v>
      </c>
      <c r="F123" s="3">
        <v>3</v>
      </c>
      <c r="G123" s="3">
        <v>15</v>
      </c>
      <c r="H123" t="str">
        <f>INDEX(Products!$B:$B,MATCH(Sales_Enriched!C123,Products!$A:$A,0))</f>
        <v>Basmati Rice 5kg</v>
      </c>
      <c r="I123" t="str">
        <f>INDEX(Products!$C:$C, MATCH(Sales_Enriched!C123,Products!$A:$A,0))</f>
        <v>Grocery</v>
      </c>
      <c r="J123" s="11">
        <f>INDEX(Products!$F:$F, MATCH(Sales_Enriched!C123,Products!$A:$A,0))</f>
        <v>320</v>
      </c>
      <c r="K123" t="str">
        <f>INDEX(Customers!$B:$B, MATCH(Sales_Enriched!D123,Customers!$A:$A,0))</f>
        <v>Rekha Pillai</v>
      </c>
      <c r="L123" t="str">
        <f>INDEX(Customers!$C:$C, MATCH(Sales_Enriched!D123,Customers!$A:$A,0))</f>
        <v>Chennai</v>
      </c>
      <c r="M123" s="11">
        <f t="shared" si="5"/>
        <v>960</v>
      </c>
      <c r="N123" s="11">
        <f t="shared" si="6"/>
        <v>144</v>
      </c>
      <c r="O123" s="11">
        <f t="shared" si="7"/>
        <v>816</v>
      </c>
      <c r="P123">
        <f>HLOOKUP(TEXT(B123,"MMM"),'Monthly_Targets '!$A$1:$M$11, MATCH(Sales_Enriched!E123,'Monthly_Targets '!$A$1:$A$11,0),FALSE)</f>
        <v>369600</v>
      </c>
      <c r="Q123" t="str">
        <f t="shared" si="8"/>
        <v>High Discount</v>
      </c>
      <c r="R123" t="str">
        <f t="shared" si="9"/>
        <v>Poor</v>
      </c>
    </row>
    <row r="124" spans="1:18" x14ac:dyDescent="0.3">
      <c r="A124" s="2" t="s">
        <v>563</v>
      </c>
      <c r="B124" s="19">
        <v>45035</v>
      </c>
      <c r="C124" s="2" t="s">
        <v>65</v>
      </c>
      <c r="D124" s="2" t="s">
        <v>221</v>
      </c>
      <c r="E124" s="2" t="s">
        <v>149</v>
      </c>
      <c r="F124" s="2">
        <v>5</v>
      </c>
      <c r="G124" s="2">
        <v>5</v>
      </c>
      <c r="H124" t="str">
        <f>INDEX(Products!$B:$B,MATCH(Sales_Enriched!C124,Products!$A:$A,0))</f>
        <v>Dove Shampoo 340ml</v>
      </c>
      <c r="I124" t="str">
        <f>INDEX(Products!$C:$C, MATCH(Sales_Enriched!C124,Products!$A:$A,0))</f>
        <v>Beauty</v>
      </c>
      <c r="J124" s="11">
        <f>INDEX(Products!$F:$F, MATCH(Sales_Enriched!C124,Products!$A:$A,0))</f>
        <v>299</v>
      </c>
      <c r="K124" t="str">
        <f>INDEX(Customers!$B:$B, MATCH(Sales_Enriched!D124,Customers!$A:$A,0))</f>
        <v>Suresh Ghosh</v>
      </c>
      <c r="L124" t="str">
        <f>INDEX(Customers!$C:$C, MATCH(Sales_Enriched!D124,Customers!$A:$A,0))</f>
        <v>Kolkata</v>
      </c>
      <c r="M124" s="11">
        <f t="shared" si="5"/>
        <v>1495</v>
      </c>
      <c r="N124" s="11">
        <f t="shared" si="6"/>
        <v>74.75</v>
      </c>
      <c r="O124" s="11">
        <f t="shared" si="7"/>
        <v>1420.25</v>
      </c>
      <c r="P124">
        <f>HLOOKUP(TEXT(B124,"MMM"),'Monthly_Targets '!$A$1:$M$11, MATCH(Sales_Enriched!E124,'Monthly_Targets '!$A$1:$A$11,0),FALSE)</f>
        <v>378000</v>
      </c>
      <c r="Q124" t="str">
        <f t="shared" si="8"/>
        <v>Low Discount</v>
      </c>
      <c r="R124" t="str">
        <f t="shared" si="9"/>
        <v>Poor</v>
      </c>
    </row>
    <row r="125" spans="1:18" x14ac:dyDescent="0.3">
      <c r="A125" s="3" t="s">
        <v>564</v>
      </c>
      <c r="B125" s="20">
        <v>45211</v>
      </c>
      <c r="C125" s="3" t="s">
        <v>8</v>
      </c>
      <c r="D125" s="3" t="s">
        <v>254</v>
      </c>
      <c r="E125" s="3" t="s">
        <v>138</v>
      </c>
      <c r="F125" s="3">
        <v>2</v>
      </c>
      <c r="G125" s="3">
        <v>5</v>
      </c>
      <c r="H125" t="str">
        <f>INDEX(Products!$B:$B,MATCH(Sales_Enriched!C125,Products!$A:$A,0))</f>
        <v>Basmati Rice 5kg</v>
      </c>
      <c r="I125" t="str">
        <f>INDEX(Products!$C:$C, MATCH(Sales_Enriched!C125,Products!$A:$A,0))</f>
        <v>Grocery</v>
      </c>
      <c r="J125" s="11">
        <f>INDEX(Products!$F:$F, MATCH(Sales_Enriched!C125,Products!$A:$A,0))</f>
        <v>320</v>
      </c>
      <c r="K125" t="str">
        <f>INDEX(Customers!$B:$B, MATCH(Sales_Enriched!D125,Customers!$A:$A,0))</f>
        <v>Dinesh Yadav</v>
      </c>
      <c r="L125" t="str">
        <f>INDEX(Customers!$C:$C, MATCH(Sales_Enriched!D125,Customers!$A:$A,0))</f>
        <v>Delhi</v>
      </c>
      <c r="M125" s="11">
        <f t="shared" si="5"/>
        <v>640</v>
      </c>
      <c r="N125" s="11">
        <f t="shared" si="6"/>
        <v>32</v>
      </c>
      <c r="O125" s="11">
        <f t="shared" si="7"/>
        <v>608</v>
      </c>
      <c r="P125">
        <f>HLOOKUP(TEXT(B125,"MMM"),'Monthly_Targets '!$A$1:$M$11, MATCH(Sales_Enriched!E125,'Monthly_Targets '!$A$1:$A$11,0),FALSE)</f>
        <v>528000</v>
      </c>
      <c r="Q125" t="str">
        <f t="shared" si="8"/>
        <v>Low Discount</v>
      </c>
      <c r="R125" t="str">
        <f t="shared" si="9"/>
        <v>Poor</v>
      </c>
    </row>
    <row r="126" spans="1:18" x14ac:dyDescent="0.3">
      <c r="A126" s="2" t="s">
        <v>566</v>
      </c>
      <c r="B126" s="19">
        <v>45135</v>
      </c>
      <c r="C126" s="2" t="s">
        <v>86</v>
      </c>
      <c r="D126" s="2" t="s">
        <v>258</v>
      </c>
      <c r="E126" s="2" t="s">
        <v>138</v>
      </c>
      <c r="F126" s="2">
        <v>8</v>
      </c>
      <c r="G126" s="2">
        <v>15</v>
      </c>
      <c r="H126" t="str">
        <f>INDEX(Products!$B:$B,MATCH(Sales_Enriched!C126,Products!$A:$A,0))</f>
        <v>Milton Steel Bottle 1L</v>
      </c>
      <c r="I126" t="str">
        <f>INDEX(Products!$C:$C, MATCH(Sales_Enriched!C126,Products!$A:$A,0))</f>
        <v>Kitchenware</v>
      </c>
      <c r="J126" s="11">
        <f>INDEX(Products!$F:$F, MATCH(Sales_Enriched!C126,Products!$A:$A,0))</f>
        <v>599</v>
      </c>
      <c r="K126" t="str">
        <f>INDEX(Customers!$B:$B, MATCH(Sales_Enriched!D126,Customers!$A:$A,0))</f>
        <v>Sudha Sharma</v>
      </c>
      <c r="L126" t="str">
        <f>INDEX(Customers!$C:$C, MATCH(Sales_Enriched!D126,Customers!$A:$A,0))</f>
        <v>Bangalore</v>
      </c>
      <c r="M126" s="11">
        <f t="shared" si="5"/>
        <v>4792</v>
      </c>
      <c r="N126" s="11">
        <f t="shared" si="6"/>
        <v>718.8</v>
      </c>
      <c r="O126" s="11">
        <f t="shared" si="7"/>
        <v>4073.2</v>
      </c>
      <c r="P126">
        <f>HLOOKUP(TEXT(B126,"MMM"),'Monthly_Targets '!$A$1:$M$11, MATCH(Sales_Enriched!E126,'Monthly_Targets '!$A$1:$A$11,0),FALSE)</f>
        <v>393600</v>
      </c>
      <c r="Q126" t="str">
        <f t="shared" si="8"/>
        <v>High Discount</v>
      </c>
      <c r="R126" t="str">
        <f t="shared" si="9"/>
        <v>Poor</v>
      </c>
    </row>
    <row r="127" spans="1:18" x14ac:dyDescent="0.3">
      <c r="A127" s="3" t="s">
        <v>567</v>
      </c>
      <c r="B127" s="20">
        <v>45156</v>
      </c>
      <c r="C127" s="3" t="s">
        <v>8</v>
      </c>
      <c r="D127" s="3" t="s">
        <v>195</v>
      </c>
      <c r="E127" s="3" t="s">
        <v>142</v>
      </c>
      <c r="F127" s="3">
        <v>4</v>
      </c>
      <c r="G127" s="3">
        <v>10</v>
      </c>
      <c r="H127" t="str">
        <f>INDEX(Products!$B:$B,MATCH(Sales_Enriched!C127,Products!$A:$A,0))</f>
        <v>Basmati Rice 5kg</v>
      </c>
      <c r="I127" t="str">
        <f>INDEX(Products!$C:$C, MATCH(Sales_Enriched!C127,Products!$A:$A,0))</f>
        <v>Grocery</v>
      </c>
      <c r="J127" s="11">
        <f>INDEX(Products!$F:$F, MATCH(Sales_Enriched!C127,Products!$A:$A,0))</f>
        <v>320</v>
      </c>
      <c r="K127" t="str">
        <f>INDEX(Customers!$B:$B, MATCH(Sales_Enriched!D127,Customers!$A:$A,0))</f>
        <v>Vikram Nair</v>
      </c>
      <c r="L127" t="str">
        <f>INDEX(Customers!$C:$C, MATCH(Sales_Enriched!D127,Customers!$A:$A,0))</f>
        <v>Bangalore</v>
      </c>
      <c r="M127" s="11">
        <f t="shared" si="5"/>
        <v>1280</v>
      </c>
      <c r="N127" s="11">
        <f t="shared" si="6"/>
        <v>128</v>
      </c>
      <c r="O127" s="11">
        <f t="shared" si="7"/>
        <v>1152</v>
      </c>
      <c r="P127">
        <f>HLOOKUP(TEXT(B127,"MMM"),'Monthly_Targets '!$A$1:$M$11, MATCH(Sales_Enriched!E127,'Monthly_Targets '!$A$1:$A$11,0),FALSE)</f>
        <v>646000</v>
      </c>
      <c r="Q127" t="str">
        <f t="shared" si="8"/>
        <v>Low Discount</v>
      </c>
      <c r="R127" t="str">
        <f t="shared" si="9"/>
        <v>Poor</v>
      </c>
    </row>
    <row r="128" spans="1:18" x14ac:dyDescent="0.3">
      <c r="A128" s="2" t="s">
        <v>569</v>
      </c>
      <c r="B128" s="19">
        <v>45281</v>
      </c>
      <c r="C128" s="2" t="s">
        <v>44</v>
      </c>
      <c r="D128" s="2" t="s">
        <v>225</v>
      </c>
      <c r="E128" s="2" t="s">
        <v>170</v>
      </c>
      <c r="F128" s="2">
        <v>6</v>
      </c>
      <c r="G128" s="2">
        <v>15</v>
      </c>
      <c r="H128" t="str">
        <f>INDEX(Products!$B:$B,MATCH(Sales_Enriched!C128,Products!$A:$A,0))</f>
        <v>Philips LED Bulb 9W</v>
      </c>
      <c r="I128" t="str">
        <f>INDEX(Products!$C:$C, MATCH(Sales_Enriched!C128,Products!$A:$A,0))</f>
        <v>Electronics</v>
      </c>
      <c r="J128" s="11">
        <f>INDEX(Products!$F:$F, MATCH(Sales_Enriched!C128,Products!$A:$A,0))</f>
        <v>129</v>
      </c>
      <c r="K128" t="str">
        <f>INDEX(Customers!$B:$B, MATCH(Sales_Enriched!D128,Customers!$A:$A,0))</f>
        <v>Rupa Devi</v>
      </c>
      <c r="L128" t="str">
        <f>INDEX(Customers!$C:$C, MATCH(Sales_Enriched!D128,Customers!$A:$A,0))</f>
        <v>Kolkata</v>
      </c>
      <c r="M128" s="11">
        <f t="shared" si="5"/>
        <v>774</v>
      </c>
      <c r="N128" s="11">
        <f t="shared" si="6"/>
        <v>116.1</v>
      </c>
      <c r="O128" s="11">
        <f t="shared" si="7"/>
        <v>657.9</v>
      </c>
      <c r="P128">
        <f>HLOOKUP(TEXT(B128,"MMM"),'Monthly_Targets '!$A$1:$M$11, MATCH(Sales_Enriched!E128,'Monthly_Targets '!$A$1:$A$11,0),FALSE)</f>
        <v>507000</v>
      </c>
      <c r="Q128" t="str">
        <f t="shared" si="8"/>
        <v>High Discount</v>
      </c>
      <c r="R128" t="str">
        <f t="shared" si="9"/>
        <v>Poor</v>
      </c>
    </row>
    <row r="129" spans="1:18" x14ac:dyDescent="0.3">
      <c r="A129" s="3" t="s">
        <v>571</v>
      </c>
      <c r="B129" s="20">
        <v>45210</v>
      </c>
      <c r="C129" s="3" t="s">
        <v>91</v>
      </c>
      <c r="D129" s="3" t="s">
        <v>234</v>
      </c>
      <c r="E129" s="3" t="s">
        <v>153</v>
      </c>
      <c r="F129" s="3">
        <v>9</v>
      </c>
      <c r="G129" s="3">
        <v>10</v>
      </c>
      <c r="H129" t="str">
        <f>INDEX(Products!$B:$B,MATCH(Sales_Enriched!C129,Products!$A:$A,0))</f>
        <v>Parle-G Biscuits 1kg</v>
      </c>
      <c r="I129" t="str">
        <f>INDEX(Products!$C:$C, MATCH(Sales_Enriched!C129,Products!$A:$A,0))</f>
        <v>Grocery</v>
      </c>
      <c r="J129" s="11">
        <f>INDEX(Products!$F:$F, MATCH(Sales_Enriched!C129,Products!$A:$A,0))</f>
        <v>95</v>
      </c>
      <c r="K129" t="str">
        <f>INDEX(Customers!$B:$B, MATCH(Sales_Enriched!D129,Customers!$A:$A,0))</f>
        <v>Anita Kapoor</v>
      </c>
      <c r="L129" t="str">
        <f>INDEX(Customers!$C:$C, MATCH(Sales_Enriched!D129,Customers!$A:$A,0))</f>
        <v>Mumbai</v>
      </c>
      <c r="M129" s="11">
        <f t="shared" si="5"/>
        <v>855</v>
      </c>
      <c r="N129" s="11">
        <f t="shared" si="6"/>
        <v>85.5</v>
      </c>
      <c r="O129" s="11">
        <f t="shared" si="7"/>
        <v>769.5</v>
      </c>
      <c r="P129">
        <f>HLOOKUP(TEXT(B129,"MMM"),'Monthly_Targets '!$A$1:$M$11, MATCH(Sales_Enriched!E129,'Monthly_Targets '!$A$1:$A$11,0),FALSE)</f>
        <v>748000</v>
      </c>
      <c r="Q129" t="str">
        <f t="shared" si="8"/>
        <v>Low Discount</v>
      </c>
      <c r="R129" t="str">
        <f t="shared" si="9"/>
        <v>Poor</v>
      </c>
    </row>
    <row r="130" spans="1:18" x14ac:dyDescent="0.3">
      <c r="A130" s="2" t="s">
        <v>572</v>
      </c>
      <c r="B130" s="19">
        <v>45107</v>
      </c>
      <c r="C130" s="2" t="s">
        <v>80</v>
      </c>
      <c r="D130" s="2" t="s">
        <v>221</v>
      </c>
      <c r="E130" s="2" t="s">
        <v>142</v>
      </c>
      <c r="F130" s="2">
        <v>5</v>
      </c>
      <c r="G130" s="2">
        <v>5</v>
      </c>
      <c r="H130" t="str">
        <f>INDEX(Products!$B:$B,MATCH(Sales_Enriched!C130,Products!$A:$A,0))</f>
        <v>Prestige Cooker 5L</v>
      </c>
      <c r="I130" t="str">
        <f>INDEX(Products!$C:$C, MATCH(Sales_Enriched!C130,Products!$A:$A,0))</f>
        <v>Kitchenware</v>
      </c>
      <c r="J130" s="11">
        <f>INDEX(Products!$F:$F, MATCH(Sales_Enriched!C130,Products!$A:$A,0))</f>
        <v>1850</v>
      </c>
      <c r="K130" t="str">
        <f>INDEX(Customers!$B:$B, MATCH(Sales_Enriched!D130,Customers!$A:$A,0))</f>
        <v>Suresh Ghosh</v>
      </c>
      <c r="L130" t="str">
        <f>INDEX(Customers!$C:$C, MATCH(Sales_Enriched!D130,Customers!$A:$A,0))</f>
        <v>Kolkata</v>
      </c>
      <c r="M130" s="11">
        <f t="shared" si="5"/>
        <v>9250</v>
      </c>
      <c r="N130" s="11">
        <f t="shared" si="6"/>
        <v>462.5</v>
      </c>
      <c r="O130" s="11">
        <f t="shared" si="7"/>
        <v>8787.5</v>
      </c>
      <c r="P130">
        <f>HLOOKUP(TEXT(B130,"MMM"),'Monthly_Targets '!$A$1:$M$11, MATCH(Sales_Enriched!E130,'Monthly_Targets '!$A$1:$A$11,0),FALSE)</f>
        <v>668800</v>
      </c>
      <c r="Q130" t="str">
        <f t="shared" si="8"/>
        <v>Low Discount</v>
      </c>
      <c r="R130" t="str">
        <f t="shared" si="9"/>
        <v>Poor</v>
      </c>
    </row>
    <row r="131" spans="1:18" x14ac:dyDescent="0.3">
      <c r="A131" s="3" t="s">
        <v>574</v>
      </c>
      <c r="B131" s="20">
        <v>44988</v>
      </c>
      <c r="C131" s="3" t="s">
        <v>39</v>
      </c>
      <c r="D131" s="3" t="s">
        <v>230</v>
      </c>
      <c r="E131" s="3" t="s">
        <v>126</v>
      </c>
      <c r="F131" s="3">
        <v>9</v>
      </c>
      <c r="G131" s="3">
        <v>0</v>
      </c>
      <c r="H131" t="str">
        <f>INDEX(Products!$B:$B,MATCH(Sales_Enriched!C131,Products!$A:$A,0))</f>
        <v>boAt Rockerz 450</v>
      </c>
      <c r="I131" t="str">
        <f>INDEX(Products!$C:$C, MATCH(Sales_Enriched!C131,Products!$A:$A,0))</f>
        <v>Electronics</v>
      </c>
      <c r="J131" s="11">
        <f>INDEX(Products!$F:$F, MATCH(Sales_Enriched!C131,Products!$A:$A,0))</f>
        <v>1499</v>
      </c>
      <c r="K131" t="str">
        <f>INDEX(Customers!$B:$B, MATCH(Sales_Enriched!D131,Customers!$A:$A,0))</f>
        <v>Manish Joshi</v>
      </c>
      <c r="L131" t="str">
        <f>INDEX(Customers!$C:$C, MATCH(Sales_Enriched!D131,Customers!$A:$A,0))</f>
        <v>Delhi</v>
      </c>
      <c r="M131" s="11">
        <f t="shared" ref="M131:M194" si="10">J131*F131</f>
        <v>13491</v>
      </c>
      <c r="N131" s="11">
        <f t="shared" ref="N131:N194" si="11">M131*(G131/100)</f>
        <v>0</v>
      </c>
      <c r="O131" s="11">
        <f t="shared" ref="O131:O194" si="12">M131-N131</f>
        <v>13491</v>
      </c>
      <c r="P131">
        <f>HLOOKUP(TEXT(B131,"MMM"),'Monthly_Targets '!$A$1:$M$11, MATCH(Sales_Enriched!E131,'Monthly_Targets '!$A$1:$A$11,0),FALSE)</f>
        <v>494000</v>
      </c>
      <c r="Q131" t="str">
        <f t="shared" ref="Q131:Q194" si="13">IF(G131=0, "No Discount",IF(G131&lt;= 10, "Low Discount", "High Discount"))</f>
        <v>No Discount</v>
      </c>
      <c r="R131" t="str">
        <f t="shared" ref="R131:R194" si="14">IF(O131&gt;=P131*0.9, "Excellent", IF(O131&gt;=P131*0.7, "Good", IF(O131&gt;=P131*0.5, "Average", "Poor")))</f>
        <v>Poor</v>
      </c>
    </row>
    <row r="132" spans="1:18" x14ac:dyDescent="0.3">
      <c r="A132" s="2" t="s">
        <v>575</v>
      </c>
      <c r="B132" s="19">
        <v>45025</v>
      </c>
      <c r="C132" s="2" t="s">
        <v>39</v>
      </c>
      <c r="D132" s="2" t="s">
        <v>250</v>
      </c>
      <c r="E132" s="2" t="s">
        <v>142</v>
      </c>
      <c r="F132" s="2">
        <v>10</v>
      </c>
      <c r="G132" s="2">
        <v>20</v>
      </c>
      <c r="H132" t="str">
        <f>INDEX(Products!$B:$B,MATCH(Sales_Enriched!C132,Products!$A:$A,0))</f>
        <v>boAt Rockerz 450</v>
      </c>
      <c r="I132" t="str">
        <f>INDEX(Products!$C:$C, MATCH(Sales_Enriched!C132,Products!$A:$A,0))</f>
        <v>Electronics</v>
      </c>
      <c r="J132" s="11">
        <f>INDEX(Products!$F:$F, MATCH(Sales_Enriched!C132,Products!$A:$A,0))</f>
        <v>1499</v>
      </c>
      <c r="K132" t="str">
        <f>INDEX(Customers!$B:$B, MATCH(Sales_Enriched!D132,Customers!$A:$A,0))</f>
        <v>Rekha Pillai</v>
      </c>
      <c r="L132" t="str">
        <f>INDEX(Customers!$C:$C, MATCH(Sales_Enriched!D132,Customers!$A:$A,0))</f>
        <v>Chennai</v>
      </c>
      <c r="M132" s="11">
        <f t="shared" si="10"/>
        <v>14990</v>
      </c>
      <c r="N132" s="11">
        <f t="shared" si="11"/>
        <v>2998</v>
      </c>
      <c r="O132" s="11">
        <f t="shared" si="12"/>
        <v>11992</v>
      </c>
      <c r="P132">
        <f>HLOOKUP(TEXT(B132,"MMM"),'Monthly_Targets '!$A$1:$M$11, MATCH(Sales_Enriched!E132,'Monthly_Targets '!$A$1:$A$11,0),FALSE)</f>
        <v>684000</v>
      </c>
      <c r="Q132" t="str">
        <f t="shared" si="13"/>
        <v>High Discount</v>
      </c>
      <c r="R132" t="str">
        <f t="shared" si="14"/>
        <v>Poor</v>
      </c>
    </row>
    <row r="133" spans="1:18" x14ac:dyDescent="0.3">
      <c r="A133" s="3" t="s">
        <v>577</v>
      </c>
      <c r="B133" s="20">
        <v>45232</v>
      </c>
      <c r="C133" s="3" t="s">
        <v>55</v>
      </c>
      <c r="D133" s="3" t="s">
        <v>199</v>
      </c>
      <c r="E133" s="3" t="s">
        <v>138</v>
      </c>
      <c r="F133" s="3">
        <v>5</v>
      </c>
      <c r="G133" s="3">
        <v>5</v>
      </c>
      <c r="H133" t="str">
        <f>INDEX(Products!$B:$B,MATCH(Sales_Enriched!C133,Products!$A:$A,0))</f>
        <v>Dettol Handwash 250ml</v>
      </c>
      <c r="I133" t="str">
        <f>INDEX(Products!$C:$C, MATCH(Sales_Enriched!C133,Products!$A:$A,0))</f>
        <v>Home Care</v>
      </c>
      <c r="J133" s="11">
        <f>INDEX(Products!$F:$F, MATCH(Sales_Enriched!C133,Products!$A:$A,0))</f>
        <v>95</v>
      </c>
      <c r="K133" t="str">
        <f>INDEX(Customers!$B:$B, MATCH(Sales_Enriched!D133,Customers!$A:$A,0))</f>
        <v>Sunita Rao</v>
      </c>
      <c r="L133" t="str">
        <f>INDEX(Customers!$C:$C, MATCH(Sales_Enriched!D133,Customers!$A:$A,0))</f>
        <v>Chennai</v>
      </c>
      <c r="M133" s="11">
        <f t="shared" si="10"/>
        <v>475</v>
      </c>
      <c r="N133" s="11">
        <f t="shared" si="11"/>
        <v>23.75</v>
      </c>
      <c r="O133" s="11">
        <f t="shared" si="12"/>
        <v>451.25</v>
      </c>
      <c r="P133">
        <f>HLOOKUP(TEXT(B133,"MMM"),'Monthly_Targets '!$A$1:$M$11, MATCH(Sales_Enriched!E133,'Monthly_Targets '!$A$1:$A$11,0),FALSE)</f>
        <v>576000</v>
      </c>
      <c r="Q133" t="str">
        <f t="shared" si="13"/>
        <v>Low Discount</v>
      </c>
      <c r="R133" t="str">
        <f t="shared" si="14"/>
        <v>Poor</v>
      </c>
    </row>
    <row r="134" spans="1:18" x14ac:dyDescent="0.3">
      <c r="A134" s="2" t="s">
        <v>578</v>
      </c>
      <c r="B134" s="19">
        <v>45111</v>
      </c>
      <c r="C134" s="2" t="s">
        <v>33</v>
      </c>
      <c r="D134" s="2" t="s">
        <v>225</v>
      </c>
      <c r="E134" s="2" t="s">
        <v>119</v>
      </c>
      <c r="F134" s="2">
        <v>9</v>
      </c>
      <c r="G134" s="2">
        <v>0</v>
      </c>
      <c r="H134" t="str">
        <f>INDEX(Products!$B:$B,MATCH(Sales_Enriched!C134,Products!$A:$A,0))</f>
        <v>Samsung 43 Smart TV</v>
      </c>
      <c r="I134" t="str">
        <f>INDEX(Products!$C:$C, MATCH(Sales_Enriched!C134,Products!$A:$A,0))</f>
        <v>Electronics</v>
      </c>
      <c r="J134" s="11">
        <f>INDEX(Products!$F:$F, MATCH(Sales_Enriched!C134,Products!$A:$A,0))</f>
        <v>32999</v>
      </c>
      <c r="K134" t="str">
        <f>INDEX(Customers!$B:$B, MATCH(Sales_Enriched!D134,Customers!$A:$A,0))</f>
        <v>Rupa Devi</v>
      </c>
      <c r="L134" t="str">
        <f>INDEX(Customers!$C:$C, MATCH(Sales_Enriched!D134,Customers!$A:$A,0))</f>
        <v>Kolkata</v>
      </c>
      <c r="M134" s="11">
        <f t="shared" si="10"/>
        <v>296991</v>
      </c>
      <c r="N134" s="11">
        <f t="shared" si="11"/>
        <v>0</v>
      </c>
      <c r="O134" s="11">
        <f t="shared" si="12"/>
        <v>296991</v>
      </c>
      <c r="P134">
        <f>HLOOKUP(TEXT(B134,"MMM"),'Monthly_Targets '!$A$1:$M$11, MATCH(Sales_Enriched!E134,'Monthly_Targets '!$A$1:$A$11,0),FALSE)</f>
        <v>697000</v>
      </c>
      <c r="Q134" t="str">
        <f t="shared" si="13"/>
        <v>No Discount</v>
      </c>
      <c r="R134" t="str">
        <f t="shared" si="14"/>
        <v>Poor</v>
      </c>
    </row>
    <row r="135" spans="1:18" x14ac:dyDescent="0.3">
      <c r="A135" s="3" t="s">
        <v>580</v>
      </c>
      <c r="B135" s="20">
        <v>45067</v>
      </c>
      <c r="C135" s="3" t="s">
        <v>14</v>
      </c>
      <c r="D135" s="3" t="s">
        <v>188</v>
      </c>
      <c r="E135" s="3" t="s">
        <v>163</v>
      </c>
      <c r="F135" s="3">
        <v>5</v>
      </c>
      <c r="G135" s="3">
        <v>0</v>
      </c>
      <c r="H135" t="str">
        <f>INDEX(Products!$B:$B,MATCH(Sales_Enriched!C135,Products!$A:$A,0))</f>
        <v>Toor Dal 1kg</v>
      </c>
      <c r="I135" t="str">
        <f>INDEX(Products!$C:$C, MATCH(Sales_Enriched!C135,Products!$A:$A,0))</f>
        <v>Grocery</v>
      </c>
      <c r="J135" s="11">
        <f>INDEX(Products!$F:$F, MATCH(Sales_Enriched!C135,Products!$A:$A,0))</f>
        <v>145</v>
      </c>
      <c r="K135" t="str">
        <f>INDEX(Customers!$B:$B, MATCH(Sales_Enriched!D135,Customers!$A:$A,0))</f>
        <v>Priya Singh</v>
      </c>
      <c r="L135" t="str">
        <f>INDEX(Customers!$C:$C, MATCH(Sales_Enriched!D135,Customers!$A:$A,0))</f>
        <v>Mumbai</v>
      </c>
      <c r="M135" s="11">
        <f t="shared" si="10"/>
        <v>725</v>
      </c>
      <c r="N135" s="11">
        <f t="shared" si="11"/>
        <v>0</v>
      </c>
      <c r="O135" s="11">
        <f t="shared" si="12"/>
        <v>725</v>
      </c>
      <c r="P135">
        <f>HLOOKUP(TEXT(B135,"MMM"),'Monthly_Targets '!$A$1:$M$11, MATCH(Sales_Enriched!E135,'Monthly_Targets '!$A$1:$A$11,0),FALSE)</f>
        <v>653200</v>
      </c>
      <c r="Q135" t="str">
        <f t="shared" si="13"/>
        <v>No Discount</v>
      </c>
      <c r="R135" t="str">
        <f t="shared" si="14"/>
        <v>Poor</v>
      </c>
    </row>
    <row r="136" spans="1:18" x14ac:dyDescent="0.3">
      <c r="A136" s="2" t="s">
        <v>581</v>
      </c>
      <c r="B136" s="19">
        <v>45253</v>
      </c>
      <c r="C136" s="2" t="s">
        <v>86</v>
      </c>
      <c r="D136" s="2" t="s">
        <v>199</v>
      </c>
      <c r="E136" s="2" t="s">
        <v>119</v>
      </c>
      <c r="F136" s="2">
        <v>10</v>
      </c>
      <c r="G136" s="2">
        <v>5</v>
      </c>
      <c r="H136" t="str">
        <f>INDEX(Products!$B:$B,MATCH(Sales_Enriched!C136,Products!$A:$A,0))</f>
        <v>Milton Steel Bottle 1L</v>
      </c>
      <c r="I136" t="str">
        <f>INDEX(Products!$C:$C, MATCH(Sales_Enriched!C136,Products!$A:$A,0))</f>
        <v>Kitchenware</v>
      </c>
      <c r="J136" s="11">
        <f>INDEX(Products!$F:$F, MATCH(Sales_Enriched!C136,Products!$A:$A,0))</f>
        <v>599</v>
      </c>
      <c r="K136" t="str">
        <f>INDEX(Customers!$B:$B, MATCH(Sales_Enriched!D136,Customers!$A:$A,0))</f>
        <v>Sunita Rao</v>
      </c>
      <c r="L136" t="str">
        <f>INDEX(Customers!$C:$C, MATCH(Sales_Enriched!D136,Customers!$A:$A,0))</f>
        <v>Chennai</v>
      </c>
      <c r="M136" s="11">
        <f t="shared" si="10"/>
        <v>5990</v>
      </c>
      <c r="N136" s="11">
        <f t="shared" si="11"/>
        <v>299.5</v>
      </c>
      <c r="O136" s="11">
        <f t="shared" si="12"/>
        <v>5690.5</v>
      </c>
      <c r="P136">
        <f>HLOOKUP(TEXT(B136,"MMM"),'Monthly_Targets '!$A$1:$M$11, MATCH(Sales_Enriched!E136,'Monthly_Targets '!$A$1:$A$11,0),FALSE)</f>
        <v>1020000</v>
      </c>
      <c r="Q136" t="str">
        <f t="shared" si="13"/>
        <v>Low Discount</v>
      </c>
      <c r="R136" t="str">
        <f t="shared" si="14"/>
        <v>Poor</v>
      </c>
    </row>
    <row r="137" spans="1:18" x14ac:dyDescent="0.3">
      <c r="A137" s="3" t="s">
        <v>583</v>
      </c>
      <c r="B137" s="20">
        <v>45167</v>
      </c>
      <c r="C137" s="3" t="s">
        <v>86</v>
      </c>
      <c r="D137" s="3" t="s">
        <v>246</v>
      </c>
      <c r="E137" s="3" t="s">
        <v>149</v>
      </c>
      <c r="F137" s="3">
        <v>3</v>
      </c>
      <c r="G137" s="3">
        <v>0</v>
      </c>
      <c r="H137" t="str">
        <f>INDEX(Products!$B:$B,MATCH(Sales_Enriched!C137,Products!$A:$A,0))</f>
        <v>Milton Steel Bottle 1L</v>
      </c>
      <c r="I137" t="str">
        <f>INDEX(Products!$C:$C, MATCH(Sales_Enriched!C137,Products!$A:$A,0))</f>
        <v>Kitchenware</v>
      </c>
      <c r="J137" s="11">
        <f>INDEX(Products!$F:$F, MATCH(Sales_Enriched!C137,Products!$A:$A,0))</f>
        <v>599</v>
      </c>
      <c r="K137" t="str">
        <f>INDEX(Customers!$B:$B, MATCH(Sales_Enriched!D137,Customers!$A:$A,0))</f>
        <v>Arun Banerjee</v>
      </c>
      <c r="L137" t="str">
        <f>INDEX(Customers!$C:$C, MATCH(Sales_Enriched!D137,Customers!$A:$A,0))</f>
        <v>Kolkata</v>
      </c>
      <c r="M137" s="11">
        <f t="shared" si="10"/>
        <v>1797</v>
      </c>
      <c r="N137" s="11">
        <f t="shared" si="11"/>
        <v>0</v>
      </c>
      <c r="O137" s="11">
        <f t="shared" si="12"/>
        <v>1797</v>
      </c>
      <c r="P137">
        <f>HLOOKUP(TEXT(B137,"MMM"),'Monthly_Targets '!$A$1:$M$11, MATCH(Sales_Enriched!E137,'Monthly_Targets '!$A$1:$A$11,0),FALSE)</f>
        <v>357000</v>
      </c>
      <c r="Q137" t="str">
        <f t="shared" si="13"/>
        <v>No Discount</v>
      </c>
      <c r="R137" t="str">
        <f t="shared" si="14"/>
        <v>Poor</v>
      </c>
    </row>
    <row r="138" spans="1:18" x14ac:dyDescent="0.3">
      <c r="A138" s="2" t="s">
        <v>584</v>
      </c>
      <c r="B138" s="19">
        <v>45056</v>
      </c>
      <c r="C138" s="2" t="s">
        <v>86</v>
      </c>
      <c r="D138" s="2" t="s">
        <v>199</v>
      </c>
      <c r="E138" s="2" t="s">
        <v>126</v>
      </c>
      <c r="F138" s="2">
        <v>7</v>
      </c>
      <c r="G138" s="2">
        <v>15</v>
      </c>
      <c r="H138" t="str">
        <f>INDEX(Products!$B:$B,MATCH(Sales_Enriched!C138,Products!$A:$A,0))</f>
        <v>Milton Steel Bottle 1L</v>
      </c>
      <c r="I138" t="str">
        <f>INDEX(Products!$C:$C, MATCH(Sales_Enriched!C138,Products!$A:$A,0))</f>
        <v>Kitchenware</v>
      </c>
      <c r="J138" s="11">
        <f>INDEX(Products!$F:$F, MATCH(Sales_Enriched!C138,Products!$A:$A,0))</f>
        <v>599</v>
      </c>
      <c r="K138" t="str">
        <f>INDEX(Customers!$B:$B, MATCH(Sales_Enriched!D138,Customers!$A:$A,0))</f>
        <v>Sunita Rao</v>
      </c>
      <c r="L138" t="str">
        <f>INDEX(Customers!$C:$C, MATCH(Sales_Enriched!D138,Customers!$A:$A,0))</f>
        <v>Chennai</v>
      </c>
      <c r="M138" s="11">
        <f t="shared" si="10"/>
        <v>4193</v>
      </c>
      <c r="N138" s="11">
        <f t="shared" si="11"/>
        <v>628.94999999999993</v>
      </c>
      <c r="O138" s="11">
        <f t="shared" si="12"/>
        <v>3564.05</v>
      </c>
      <c r="P138">
        <f>HLOOKUP(TEXT(B138,"MMM"),'Monthly_Targets '!$A$1:$M$11, MATCH(Sales_Enriched!E138,'Monthly_Targets '!$A$1:$A$11,0),FALSE)</f>
        <v>478400</v>
      </c>
      <c r="Q138" t="str">
        <f t="shared" si="13"/>
        <v>High Discount</v>
      </c>
      <c r="R138" t="str">
        <f t="shared" si="14"/>
        <v>Poor</v>
      </c>
    </row>
    <row r="139" spans="1:18" x14ac:dyDescent="0.3">
      <c r="A139" s="3" t="s">
        <v>586</v>
      </c>
      <c r="B139" s="20">
        <v>44964</v>
      </c>
      <c r="C139" s="3" t="s">
        <v>101</v>
      </c>
      <c r="D139" s="3" t="s">
        <v>188</v>
      </c>
      <c r="E139" s="3" t="s">
        <v>131</v>
      </c>
      <c r="F139" s="3">
        <v>3</v>
      </c>
      <c r="G139" s="3">
        <v>5</v>
      </c>
      <c r="H139" t="str">
        <f>INDEX(Products!$B:$B,MATCH(Sales_Enriched!C139,Products!$A:$A,0))</f>
        <v>Colgate Toothpaste 200g</v>
      </c>
      <c r="I139" t="str">
        <f>INDEX(Products!$C:$C, MATCH(Sales_Enriched!C139,Products!$A:$A,0))</f>
        <v>Home Care</v>
      </c>
      <c r="J139" s="11">
        <f>INDEX(Products!$F:$F, MATCH(Sales_Enriched!C139,Products!$A:$A,0))</f>
        <v>95</v>
      </c>
      <c r="K139" t="str">
        <f>INDEX(Customers!$B:$B, MATCH(Sales_Enriched!D139,Customers!$A:$A,0))</f>
        <v>Priya Singh</v>
      </c>
      <c r="L139" t="str">
        <f>INDEX(Customers!$C:$C, MATCH(Sales_Enriched!D139,Customers!$A:$A,0))</f>
        <v>Mumbai</v>
      </c>
      <c r="M139" s="11">
        <f t="shared" si="10"/>
        <v>285</v>
      </c>
      <c r="N139" s="11">
        <f t="shared" si="11"/>
        <v>14.25</v>
      </c>
      <c r="O139" s="11">
        <f t="shared" si="12"/>
        <v>270.75</v>
      </c>
      <c r="P139">
        <f>HLOOKUP(TEXT(B139,"MMM"),'Monthly_Targets '!$A$1:$M$11, MATCH(Sales_Enriched!E139,'Monthly_Targets '!$A$1:$A$11,0),FALSE)</f>
        <v>809600</v>
      </c>
      <c r="Q139" t="str">
        <f t="shared" si="13"/>
        <v>Low Discount</v>
      </c>
      <c r="R139" t="str">
        <f t="shared" si="14"/>
        <v>Poor</v>
      </c>
    </row>
    <row r="140" spans="1:18" x14ac:dyDescent="0.3">
      <c r="A140" s="2" t="s">
        <v>588</v>
      </c>
      <c r="B140" s="19">
        <v>44970</v>
      </c>
      <c r="C140" s="2" t="s">
        <v>44</v>
      </c>
      <c r="D140" s="2" t="s">
        <v>199</v>
      </c>
      <c r="E140" s="2" t="s">
        <v>163</v>
      </c>
      <c r="F140" s="2">
        <v>7</v>
      </c>
      <c r="G140" s="2">
        <v>5</v>
      </c>
      <c r="H140" t="str">
        <f>INDEX(Products!$B:$B,MATCH(Sales_Enriched!C140,Products!$A:$A,0))</f>
        <v>Philips LED Bulb 9W</v>
      </c>
      <c r="I140" t="str">
        <f>INDEX(Products!$C:$C, MATCH(Sales_Enriched!C140,Products!$A:$A,0))</f>
        <v>Electronics</v>
      </c>
      <c r="J140" s="11">
        <f>INDEX(Products!$F:$F, MATCH(Sales_Enriched!C140,Products!$A:$A,0))</f>
        <v>129</v>
      </c>
      <c r="K140" t="str">
        <f>INDEX(Customers!$B:$B, MATCH(Sales_Enriched!D140,Customers!$A:$A,0))</f>
        <v>Sunita Rao</v>
      </c>
      <c r="L140" t="str">
        <f>INDEX(Customers!$C:$C, MATCH(Sales_Enriched!D140,Customers!$A:$A,0))</f>
        <v>Chennai</v>
      </c>
      <c r="M140" s="11">
        <f t="shared" si="10"/>
        <v>903</v>
      </c>
      <c r="N140" s="11">
        <f t="shared" si="11"/>
        <v>45.150000000000006</v>
      </c>
      <c r="O140" s="11">
        <f t="shared" si="12"/>
        <v>857.85</v>
      </c>
      <c r="P140">
        <f>HLOOKUP(TEXT(B140,"MMM"),'Monthly_Targets '!$A$1:$M$11, MATCH(Sales_Enriched!E140,'Monthly_Targets '!$A$1:$A$11,0),FALSE)</f>
        <v>624800</v>
      </c>
      <c r="Q140" t="str">
        <f t="shared" si="13"/>
        <v>Low Discount</v>
      </c>
      <c r="R140" t="str">
        <f t="shared" si="14"/>
        <v>Poor</v>
      </c>
    </row>
    <row r="141" spans="1:18" x14ac:dyDescent="0.3">
      <c r="A141" s="3" t="s">
        <v>590</v>
      </c>
      <c r="B141" s="20">
        <v>45194</v>
      </c>
      <c r="C141" s="3" t="s">
        <v>69</v>
      </c>
      <c r="D141" s="3" t="s">
        <v>246</v>
      </c>
      <c r="E141" s="3" t="s">
        <v>159</v>
      </c>
      <c r="F141" s="3">
        <v>5</v>
      </c>
      <c r="G141" s="3">
        <v>10</v>
      </c>
      <c r="H141" t="str">
        <f>INDEX(Products!$B:$B,MATCH(Sales_Enriched!C141,Products!$A:$A,0))</f>
        <v>Levis Jeans</v>
      </c>
      <c r="I141" t="str">
        <f>INDEX(Products!$C:$C, MATCH(Sales_Enriched!C141,Products!$A:$A,0))</f>
        <v>Apparel</v>
      </c>
      <c r="J141" s="11">
        <f>INDEX(Products!$F:$F, MATCH(Sales_Enriched!C141,Products!$A:$A,0))</f>
        <v>2499</v>
      </c>
      <c r="K141" t="str">
        <f>INDEX(Customers!$B:$B, MATCH(Sales_Enriched!D141,Customers!$A:$A,0))</f>
        <v>Arun Banerjee</v>
      </c>
      <c r="L141" t="str">
        <f>INDEX(Customers!$C:$C, MATCH(Sales_Enriched!D141,Customers!$A:$A,0))</f>
        <v>Kolkata</v>
      </c>
      <c r="M141" s="11">
        <f t="shared" si="10"/>
        <v>12495</v>
      </c>
      <c r="N141" s="11">
        <f t="shared" si="11"/>
        <v>1249.5</v>
      </c>
      <c r="O141" s="11">
        <f t="shared" si="12"/>
        <v>11245.5</v>
      </c>
      <c r="P141">
        <f>HLOOKUP(TEXT(B141,"MMM"),'Monthly_Targets '!$A$1:$M$11, MATCH(Sales_Enriched!E141,'Monthly_Targets '!$A$1:$A$11,0),FALSE)</f>
        <v>389500</v>
      </c>
      <c r="Q141" t="str">
        <f t="shared" si="13"/>
        <v>Low Discount</v>
      </c>
      <c r="R141" t="str">
        <f t="shared" si="14"/>
        <v>Poor</v>
      </c>
    </row>
    <row r="142" spans="1:18" x14ac:dyDescent="0.3">
      <c r="A142" s="2" t="s">
        <v>591</v>
      </c>
      <c r="B142" s="19">
        <v>45083</v>
      </c>
      <c r="C142" s="2" t="s">
        <v>101</v>
      </c>
      <c r="D142" s="2" t="s">
        <v>266</v>
      </c>
      <c r="E142" s="2" t="s">
        <v>119</v>
      </c>
      <c r="F142" s="2">
        <v>10</v>
      </c>
      <c r="G142" s="2">
        <v>0</v>
      </c>
      <c r="H142" t="str">
        <f>INDEX(Products!$B:$B,MATCH(Sales_Enriched!C142,Products!$A:$A,0))</f>
        <v>Colgate Toothpaste 200g</v>
      </c>
      <c r="I142" t="str">
        <f>INDEX(Products!$C:$C, MATCH(Sales_Enriched!C142,Products!$A:$A,0))</f>
        <v>Home Care</v>
      </c>
      <c r="J142" s="11">
        <f>INDEX(Products!$F:$F, MATCH(Sales_Enriched!C142,Products!$A:$A,0))</f>
        <v>95</v>
      </c>
      <c r="K142" t="str">
        <f>INDEX(Customers!$B:$B, MATCH(Sales_Enriched!D142,Customers!$A:$A,0))</f>
        <v>Lalita Das</v>
      </c>
      <c r="L142" t="str">
        <f>INDEX(Customers!$C:$C, MATCH(Sales_Enriched!D142,Customers!$A:$A,0))</f>
        <v>Kolkata</v>
      </c>
      <c r="M142" s="11">
        <f t="shared" si="10"/>
        <v>950</v>
      </c>
      <c r="N142" s="11">
        <f t="shared" si="11"/>
        <v>0</v>
      </c>
      <c r="O142" s="11">
        <f t="shared" si="12"/>
        <v>950</v>
      </c>
      <c r="P142">
        <f>HLOOKUP(TEXT(B142,"MMM"),'Monthly_Targets '!$A$1:$M$11, MATCH(Sales_Enriched!E142,'Monthly_Targets '!$A$1:$A$11,0),FALSE)</f>
        <v>748000</v>
      </c>
      <c r="Q142" t="str">
        <f t="shared" si="13"/>
        <v>No Discount</v>
      </c>
      <c r="R142" t="str">
        <f t="shared" si="14"/>
        <v>Poor</v>
      </c>
    </row>
    <row r="143" spans="1:18" x14ac:dyDescent="0.3">
      <c r="A143" s="3" t="s">
        <v>592</v>
      </c>
      <c r="B143" s="20">
        <v>45033</v>
      </c>
      <c r="C143" s="3" t="s">
        <v>39</v>
      </c>
      <c r="D143" s="3" t="s">
        <v>221</v>
      </c>
      <c r="E143" s="3" t="s">
        <v>126</v>
      </c>
      <c r="F143" s="3">
        <v>3</v>
      </c>
      <c r="G143" s="3">
        <v>5</v>
      </c>
      <c r="H143" t="str">
        <f>INDEX(Products!$B:$B,MATCH(Sales_Enriched!C143,Products!$A:$A,0))</f>
        <v>boAt Rockerz 450</v>
      </c>
      <c r="I143" t="str">
        <f>INDEX(Products!$C:$C, MATCH(Sales_Enriched!C143,Products!$A:$A,0))</f>
        <v>Electronics</v>
      </c>
      <c r="J143" s="11">
        <f>INDEX(Products!$F:$F, MATCH(Sales_Enriched!C143,Products!$A:$A,0))</f>
        <v>1499</v>
      </c>
      <c r="K143" t="str">
        <f>INDEX(Customers!$B:$B, MATCH(Sales_Enriched!D143,Customers!$A:$A,0))</f>
        <v>Suresh Ghosh</v>
      </c>
      <c r="L143" t="str">
        <f>INDEX(Customers!$C:$C, MATCH(Sales_Enriched!D143,Customers!$A:$A,0))</f>
        <v>Kolkata</v>
      </c>
      <c r="M143" s="11">
        <f t="shared" si="10"/>
        <v>4497</v>
      </c>
      <c r="N143" s="11">
        <f t="shared" si="11"/>
        <v>224.85000000000002</v>
      </c>
      <c r="O143" s="11">
        <f t="shared" si="12"/>
        <v>4272.1499999999996</v>
      </c>
      <c r="P143">
        <f>HLOOKUP(TEXT(B143,"MMM"),'Monthly_Targets '!$A$1:$M$11, MATCH(Sales_Enriched!E143,'Monthly_Targets '!$A$1:$A$11,0),FALSE)</f>
        <v>468000</v>
      </c>
      <c r="Q143" t="str">
        <f t="shared" si="13"/>
        <v>Low Discount</v>
      </c>
      <c r="R143" t="str">
        <f t="shared" si="14"/>
        <v>Poor</v>
      </c>
    </row>
    <row r="144" spans="1:18" x14ac:dyDescent="0.3">
      <c r="A144" s="2" t="s">
        <v>594</v>
      </c>
      <c r="B144" s="19">
        <v>45015</v>
      </c>
      <c r="C144" s="2" t="s">
        <v>96</v>
      </c>
      <c r="D144" s="2" t="s">
        <v>195</v>
      </c>
      <c r="E144" s="2" t="s">
        <v>131</v>
      </c>
      <c r="F144" s="2">
        <v>1</v>
      </c>
      <c r="G144" s="2">
        <v>10</v>
      </c>
      <c r="H144" t="str">
        <f>INDEX(Products!$B:$B,MATCH(Sales_Enriched!C144,Products!$A:$A,0))</f>
        <v>Maggi Noodles 12pk</v>
      </c>
      <c r="I144" t="str">
        <f>INDEX(Products!$C:$C, MATCH(Sales_Enriched!C144,Products!$A:$A,0))</f>
        <v>Grocery</v>
      </c>
      <c r="J144" s="11">
        <f>INDEX(Products!$F:$F, MATCH(Sales_Enriched!C144,Products!$A:$A,0))</f>
        <v>180</v>
      </c>
      <c r="K144" t="str">
        <f>INDEX(Customers!$B:$B, MATCH(Sales_Enriched!D144,Customers!$A:$A,0))</f>
        <v>Vikram Nair</v>
      </c>
      <c r="L144" t="str">
        <f>INDEX(Customers!$C:$C, MATCH(Sales_Enriched!D144,Customers!$A:$A,0))</f>
        <v>Bangalore</v>
      </c>
      <c r="M144" s="11">
        <f t="shared" si="10"/>
        <v>180</v>
      </c>
      <c r="N144" s="11">
        <f t="shared" si="11"/>
        <v>18</v>
      </c>
      <c r="O144" s="11">
        <f t="shared" si="12"/>
        <v>162</v>
      </c>
      <c r="P144">
        <f>HLOOKUP(TEXT(B144,"MMM"),'Monthly_Targets '!$A$1:$M$11, MATCH(Sales_Enriched!E144,'Monthly_Targets '!$A$1:$A$11,0),FALSE)</f>
        <v>874000</v>
      </c>
      <c r="Q144" t="str">
        <f t="shared" si="13"/>
        <v>Low Discount</v>
      </c>
      <c r="R144" t="str">
        <f t="shared" si="14"/>
        <v>Poor</v>
      </c>
    </row>
    <row r="145" spans="1:18" x14ac:dyDescent="0.3">
      <c r="A145" s="3" t="s">
        <v>596</v>
      </c>
      <c r="B145" s="20">
        <v>45157</v>
      </c>
      <c r="C145" s="3" t="s">
        <v>106</v>
      </c>
      <c r="D145" s="3" t="s">
        <v>250</v>
      </c>
      <c r="E145" s="3" t="s">
        <v>142</v>
      </c>
      <c r="F145" s="3">
        <v>1</v>
      </c>
      <c r="G145" s="3">
        <v>5</v>
      </c>
      <c r="H145" t="str">
        <f>INDEX(Products!$B:$B,MATCH(Sales_Enriched!C145,Products!$A:$A,0))</f>
        <v>Woodland Shoes</v>
      </c>
      <c r="I145" t="str">
        <f>INDEX(Products!$C:$C, MATCH(Sales_Enriched!C145,Products!$A:$A,0))</f>
        <v>Apparel</v>
      </c>
      <c r="J145" s="11">
        <f>INDEX(Products!$F:$F, MATCH(Sales_Enriched!C145,Products!$A:$A,0))</f>
        <v>3499</v>
      </c>
      <c r="K145" t="str">
        <f>INDEX(Customers!$B:$B, MATCH(Sales_Enriched!D145,Customers!$A:$A,0))</f>
        <v>Rekha Pillai</v>
      </c>
      <c r="L145" t="str">
        <f>INDEX(Customers!$C:$C, MATCH(Sales_Enriched!D145,Customers!$A:$A,0))</f>
        <v>Chennai</v>
      </c>
      <c r="M145" s="11">
        <f t="shared" si="10"/>
        <v>3499</v>
      </c>
      <c r="N145" s="11">
        <f t="shared" si="11"/>
        <v>174.95000000000002</v>
      </c>
      <c r="O145" s="11">
        <f t="shared" si="12"/>
        <v>3324.05</v>
      </c>
      <c r="P145">
        <f>HLOOKUP(TEXT(B145,"MMM"),'Monthly_Targets '!$A$1:$M$11, MATCH(Sales_Enriched!E145,'Monthly_Targets '!$A$1:$A$11,0),FALSE)</f>
        <v>646000</v>
      </c>
      <c r="Q145" t="str">
        <f t="shared" si="13"/>
        <v>Low Discount</v>
      </c>
      <c r="R145" t="str">
        <f t="shared" si="14"/>
        <v>Poor</v>
      </c>
    </row>
    <row r="146" spans="1:18" x14ac:dyDescent="0.3">
      <c r="A146" s="2" t="s">
        <v>598</v>
      </c>
      <c r="B146" s="19">
        <v>45074</v>
      </c>
      <c r="C146" s="2" t="s">
        <v>55</v>
      </c>
      <c r="D146" s="2" t="s">
        <v>246</v>
      </c>
      <c r="E146" s="2" t="s">
        <v>126</v>
      </c>
      <c r="F146" s="2">
        <v>4</v>
      </c>
      <c r="G146" s="2">
        <v>5</v>
      </c>
      <c r="H146" t="str">
        <f>INDEX(Products!$B:$B,MATCH(Sales_Enriched!C146,Products!$A:$A,0))</f>
        <v>Dettol Handwash 250ml</v>
      </c>
      <c r="I146" t="str">
        <f>INDEX(Products!$C:$C, MATCH(Sales_Enriched!C146,Products!$A:$A,0))</f>
        <v>Home Care</v>
      </c>
      <c r="J146" s="11">
        <f>INDEX(Products!$F:$F, MATCH(Sales_Enriched!C146,Products!$A:$A,0))</f>
        <v>95</v>
      </c>
      <c r="K146" t="str">
        <f>INDEX(Customers!$B:$B, MATCH(Sales_Enriched!D146,Customers!$A:$A,0))</f>
        <v>Arun Banerjee</v>
      </c>
      <c r="L146" t="str">
        <f>INDEX(Customers!$C:$C, MATCH(Sales_Enriched!D146,Customers!$A:$A,0))</f>
        <v>Kolkata</v>
      </c>
      <c r="M146" s="11">
        <f t="shared" si="10"/>
        <v>380</v>
      </c>
      <c r="N146" s="11">
        <f t="shared" si="11"/>
        <v>19</v>
      </c>
      <c r="O146" s="11">
        <f t="shared" si="12"/>
        <v>361</v>
      </c>
      <c r="P146">
        <f>HLOOKUP(TEXT(B146,"MMM"),'Monthly_Targets '!$A$1:$M$11, MATCH(Sales_Enriched!E146,'Monthly_Targets '!$A$1:$A$11,0),FALSE)</f>
        <v>478400</v>
      </c>
      <c r="Q146" t="str">
        <f t="shared" si="13"/>
        <v>Low Discount</v>
      </c>
      <c r="R146" t="str">
        <f t="shared" si="14"/>
        <v>Poor</v>
      </c>
    </row>
    <row r="147" spans="1:18" x14ac:dyDescent="0.3">
      <c r="A147" s="3" t="s">
        <v>600</v>
      </c>
      <c r="B147" s="20">
        <v>45247</v>
      </c>
      <c r="C147" s="3" t="s">
        <v>101</v>
      </c>
      <c r="D147" s="3" t="s">
        <v>212</v>
      </c>
      <c r="E147" s="3" t="s">
        <v>153</v>
      </c>
      <c r="F147" s="3">
        <v>2</v>
      </c>
      <c r="G147" s="3">
        <v>20</v>
      </c>
      <c r="H147" t="str">
        <f>INDEX(Products!$B:$B,MATCH(Sales_Enriched!C147,Products!$A:$A,0))</f>
        <v>Colgate Toothpaste 200g</v>
      </c>
      <c r="I147" t="str">
        <f>INDEX(Products!$C:$C, MATCH(Sales_Enriched!C147,Products!$A:$A,0))</f>
        <v>Home Care</v>
      </c>
      <c r="J147" s="11">
        <f>INDEX(Products!$F:$F, MATCH(Sales_Enriched!C147,Products!$A:$A,0))</f>
        <v>95</v>
      </c>
      <c r="K147" t="str">
        <f>INDEX(Customers!$B:$B, MATCH(Sales_Enriched!D147,Customers!$A:$A,0))</f>
        <v>Arjun Patel</v>
      </c>
      <c r="L147" t="str">
        <f>INDEX(Customers!$C:$C, MATCH(Sales_Enriched!D147,Customers!$A:$A,0))</f>
        <v>Bangalore</v>
      </c>
      <c r="M147" s="11">
        <f t="shared" si="10"/>
        <v>190</v>
      </c>
      <c r="N147" s="11">
        <f t="shared" si="11"/>
        <v>38</v>
      </c>
      <c r="O147" s="11">
        <f t="shared" si="12"/>
        <v>152</v>
      </c>
      <c r="P147">
        <f>HLOOKUP(TEXT(B147,"MMM"),'Monthly_Targets '!$A$1:$M$11, MATCH(Sales_Enriched!E147,'Monthly_Targets '!$A$1:$A$11,0),FALSE)</f>
        <v>816000</v>
      </c>
      <c r="Q147" t="str">
        <f t="shared" si="13"/>
        <v>High Discount</v>
      </c>
      <c r="R147" t="str">
        <f t="shared" si="14"/>
        <v>Poor</v>
      </c>
    </row>
    <row r="148" spans="1:18" x14ac:dyDescent="0.3">
      <c r="A148" s="2" t="s">
        <v>602</v>
      </c>
      <c r="B148" s="19">
        <v>45042</v>
      </c>
      <c r="C148" s="2" t="s">
        <v>30</v>
      </c>
      <c r="D148" s="2" t="s">
        <v>221</v>
      </c>
      <c r="E148" s="2" t="s">
        <v>131</v>
      </c>
      <c r="F148" s="2">
        <v>2</v>
      </c>
      <c r="G148" s="2">
        <v>0</v>
      </c>
      <c r="H148" t="str">
        <f>INDEX(Products!$B:$B,MATCH(Sales_Enriched!C148,Products!$A:$A,0))</f>
        <v>Amul Gold Milk 1L</v>
      </c>
      <c r="I148" t="str">
        <f>INDEX(Products!$C:$C, MATCH(Sales_Enriched!C148,Products!$A:$A,0))</f>
        <v>Dairy</v>
      </c>
      <c r="J148" s="11">
        <f>INDEX(Products!$F:$F, MATCH(Sales_Enriched!C148,Products!$A:$A,0))</f>
        <v>68</v>
      </c>
      <c r="K148" t="str">
        <f>INDEX(Customers!$B:$B, MATCH(Sales_Enriched!D148,Customers!$A:$A,0))</f>
        <v>Suresh Ghosh</v>
      </c>
      <c r="L148" t="str">
        <f>INDEX(Customers!$C:$C, MATCH(Sales_Enriched!D148,Customers!$A:$A,0))</f>
        <v>Kolkata</v>
      </c>
      <c r="M148" s="11">
        <f t="shared" si="10"/>
        <v>136</v>
      </c>
      <c r="N148" s="11">
        <f t="shared" si="11"/>
        <v>0</v>
      </c>
      <c r="O148" s="11">
        <f t="shared" si="12"/>
        <v>136</v>
      </c>
      <c r="P148">
        <f>HLOOKUP(TEXT(B148,"MMM"),'Monthly_Targets '!$A$1:$M$11, MATCH(Sales_Enriched!E148,'Monthly_Targets '!$A$1:$A$11,0),FALSE)</f>
        <v>828000</v>
      </c>
      <c r="Q148" t="str">
        <f t="shared" si="13"/>
        <v>No Discount</v>
      </c>
      <c r="R148" t="str">
        <f t="shared" si="14"/>
        <v>Poor</v>
      </c>
    </row>
    <row r="149" spans="1:18" x14ac:dyDescent="0.3">
      <c r="A149" s="3" t="s">
        <v>604</v>
      </c>
      <c r="B149" s="20">
        <v>45011</v>
      </c>
      <c r="C149" s="3" t="s">
        <v>55</v>
      </c>
      <c r="D149" s="3" t="s">
        <v>266</v>
      </c>
      <c r="E149" s="3" t="s">
        <v>170</v>
      </c>
      <c r="F149" s="3">
        <v>5</v>
      </c>
      <c r="G149" s="3">
        <v>15</v>
      </c>
      <c r="H149" t="str">
        <f>INDEX(Products!$B:$B,MATCH(Sales_Enriched!C149,Products!$A:$A,0))</f>
        <v>Dettol Handwash 250ml</v>
      </c>
      <c r="I149" t="str">
        <f>INDEX(Products!$C:$C, MATCH(Sales_Enriched!C149,Products!$A:$A,0))</f>
        <v>Home Care</v>
      </c>
      <c r="J149" s="11">
        <f>INDEX(Products!$F:$F, MATCH(Sales_Enriched!C149,Products!$A:$A,0))</f>
        <v>95</v>
      </c>
      <c r="K149" t="str">
        <f>INDEX(Customers!$B:$B, MATCH(Sales_Enriched!D149,Customers!$A:$A,0))</f>
        <v>Lalita Das</v>
      </c>
      <c r="L149" t="str">
        <f>INDEX(Customers!$C:$C, MATCH(Sales_Enriched!D149,Customers!$A:$A,0))</f>
        <v>Kolkata</v>
      </c>
      <c r="M149" s="11">
        <f t="shared" si="10"/>
        <v>475</v>
      </c>
      <c r="N149" s="11">
        <f t="shared" si="11"/>
        <v>71.25</v>
      </c>
      <c r="O149" s="11">
        <f t="shared" si="12"/>
        <v>403.75</v>
      </c>
      <c r="P149">
        <f>HLOOKUP(TEXT(B149,"MMM"),'Monthly_Targets '!$A$1:$M$11, MATCH(Sales_Enriched!E149,'Monthly_Targets '!$A$1:$A$11,0),FALSE)</f>
        <v>370500</v>
      </c>
      <c r="Q149" t="str">
        <f t="shared" si="13"/>
        <v>High Discount</v>
      </c>
      <c r="R149" t="str">
        <f t="shared" si="14"/>
        <v>Poor</v>
      </c>
    </row>
    <row r="150" spans="1:18" x14ac:dyDescent="0.3">
      <c r="A150" s="2" t="s">
        <v>606</v>
      </c>
      <c r="B150" s="19">
        <v>44990</v>
      </c>
      <c r="C150" s="2" t="s">
        <v>80</v>
      </c>
      <c r="D150" s="2" t="s">
        <v>225</v>
      </c>
      <c r="E150" s="2" t="s">
        <v>153</v>
      </c>
      <c r="F150" s="2">
        <v>5</v>
      </c>
      <c r="G150" s="2">
        <v>20</v>
      </c>
      <c r="H150" t="str">
        <f>INDEX(Products!$B:$B,MATCH(Sales_Enriched!C150,Products!$A:$A,0))</f>
        <v>Prestige Cooker 5L</v>
      </c>
      <c r="I150" t="str">
        <f>INDEX(Products!$C:$C, MATCH(Sales_Enriched!C150,Products!$A:$A,0))</f>
        <v>Kitchenware</v>
      </c>
      <c r="J150" s="11">
        <f>INDEX(Products!$F:$F, MATCH(Sales_Enriched!C150,Products!$A:$A,0))</f>
        <v>1850</v>
      </c>
      <c r="K150" t="str">
        <f>INDEX(Customers!$B:$B, MATCH(Sales_Enriched!D150,Customers!$A:$A,0))</f>
        <v>Rupa Devi</v>
      </c>
      <c r="L150" t="str">
        <f>INDEX(Customers!$C:$C, MATCH(Sales_Enriched!D150,Customers!$A:$A,0))</f>
        <v>Kolkata</v>
      </c>
      <c r="M150" s="11">
        <f t="shared" si="10"/>
        <v>9250</v>
      </c>
      <c r="N150" s="11">
        <f t="shared" si="11"/>
        <v>1850</v>
      </c>
      <c r="O150" s="11">
        <f t="shared" si="12"/>
        <v>7400</v>
      </c>
      <c r="P150">
        <f>HLOOKUP(TEXT(B150,"MMM"),'Monthly_Targets '!$A$1:$M$11, MATCH(Sales_Enriched!E150,'Monthly_Targets '!$A$1:$A$11,0),FALSE)</f>
        <v>646000</v>
      </c>
      <c r="Q150" t="str">
        <f t="shared" si="13"/>
        <v>High Discount</v>
      </c>
      <c r="R150" t="str">
        <f t="shared" si="14"/>
        <v>Poor</v>
      </c>
    </row>
    <row r="151" spans="1:18" x14ac:dyDescent="0.3">
      <c r="A151" s="3" t="s">
        <v>607</v>
      </c>
      <c r="B151" s="20">
        <v>45203</v>
      </c>
      <c r="C151" s="3" t="s">
        <v>86</v>
      </c>
      <c r="D151" s="3" t="s">
        <v>246</v>
      </c>
      <c r="E151" s="3" t="s">
        <v>126</v>
      </c>
      <c r="F151" s="3">
        <v>10</v>
      </c>
      <c r="G151" s="3">
        <v>0</v>
      </c>
      <c r="H151" t="str">
        <f>INDEX(Products!$B:$B,MATCH(Sales_Enriched!C151,Products!$A:$A,0))</f>
        <v>Milton Steel Bottle 1L</v>
      </c>
      <c r="I151" t="str">
        <f>INDEX(Products!$C:$C, MATCH(Sales_Enriched!C151,Products!$A:$A,0))</f>
        <v>Kitchenware</v>
      </c>
      <c r="J151" s="11">
        <f>INDEX(Products!$F:$F, MATCH(Sales_Enriched!C151,Products!$A:$A,0))</f>
        <v>599</v>
      </c>
      <c r="K151" t="str">
        <f>INDEX(Customers!$B:$B, MATCH(Sales_Enriched!D151,Customers!$A:$A,0))</f>
        <v>Arun Banerjee</v>
      </c>
      <c r="L151" t="str">
        <f>INDEX(Customers!$C:$C, MATCH(Sales_Enriched!D151,Customers!$A:$A,0))</f>
        <v>Kolkata</v>
      </c>
      <c r="M151" s="11">
        <f t="shared" si="10"/>
        <v>5990</v>
      </c>
      <c r="N151" s="11">
        <f t="shared" si="11"/>
        <v>0</v>
      </c>
      <c r="O151" s="11">
        <f t="shared" si="12"/>
        <v>5990</v>
      </c>
      <c r="P151">
        <f>HLOOKUP(TEXT(B151,"MMM"),'Monthly_Targets '!$A$1:$M$11, MATCH(Sales_Enriched!E151,'Monthly_Targets '!$A$1:$A$11,0),FALSE)</f>
        <v>572000</v>
      </c>
      <c r="Q151" t="str">
        <f t="shared" si="13"/>
        <v>No Discount</v>
      </c>
      <c r="R151" t="str">
        <f t="shared" si="14"/>
        <v>Poor</v>
      </c>
    </row>
    <row r="152" spans="1:18" x14ac:dyDescent="0.3">
      <c r="A152" s="2" t="s">
        <v>608</v>
      </c>
      <c r="B152" s="19">
        <v>45148</v>
      </c>
      <c r="C152" s="2" t="s">
        <v>60</v>
      </c>
      <c r="D152" s="2" t="s">
        <v>266</v>
      </c>
      <c r="E152" s="2" t="s">
        <v>142</v>
      </c>
      <c r="F152" s="2">
        <v>1</v>
      </c>
      <c r="G152" s="2">
        <v>0</v>
      </c>
      <c r="H152" t="str">
        <f>INDEX(Products!$B:$B,MATCH(Sales_Enriched!C152,Products!$A:$A,0))</f>
        <v>Lakme Lipstick</v>
      </c>
      <c r="I152" t="str">
        <f>INDEX(Products!$C:$C, MATCH(Sales_Enriched!C152,Products!$A:$A,0))</f>
        <v>Beauty</v>
      </c>
      <c r="J152" s="11">
        <f>INDEX(Products!$F:$F, MATCH(Sales_Enriched!C152,Products!$A:$A,0))</f>
        <v>350</v>
      </c>
      <c r="K152" t="str">
        <f>INDEX(Customers!$B:$B, MATCH(Sales_Enriched!D152,Customers!$A:$A,0))</f>
        <v>Lalita Das</v>
      </c>
      <c r="L152" t="str">
        <f>INDEX(Customers!$C:$C, MATCH(Sales_Enriched!D152,Customers!$A:$A,0))</f>
        <v>Kolkata</v>
      </c>
      <c r="M152" s="11">
        <f t="shared" si="10"/>
        <v>350</v>
      </c>
      <c r="N152" s="11">
        <f t="shared" si="11"/>
        <v>0</v>
      </c>
      <c r="O152" s="11">
        <f t="shared" si="12"/>
        <v>350</v>
      </c>
      <c r="P152">
        <f>HLOOKUP(TEXT(B152,"MMM"),'Monthly_Targets '!$A$1:$M$11, MATCH(Sales_Enriched!E152,'Monthly_Targets '!$A$1:$A$11,0),FALSE)</f>
        <v>646000</v>
      </c>
      <c r="Q152" t="str">
        <f t="shared" si="13"/>
        <v>No Discount</v>
      </c>
      <c r="R152" t="str">
        <f t="shared" si="14"/>
        <v>Poor</v>
      </c>
    </row>
    <row r="153" spans="1:18" x14ac:dyDescent="0.3">
      <c r="A153" s="3" t="s">
        <v>609</v>
      </c>
      <c r="B153" s="20">
        <v>45044</v>
      </c>
      <c r="C153" s="3" t="s">
        <v>101</v>
      </c>
      <c r="D153" s="3" t="s">
        <v>262</v>
      </c>
      <c r="E153" s="3" t="s">
        <v>119</v>
      </c>
      <c r="F153" s="3">
        <v>5</v>
      </c>
      <c r="G153" s="3">
        <v>0</v>
      </c>
      <c r="H153" t="str">
        <f>INDEX(Products!$B:$B,MATCH(Sales_Enriched!C153,Products!$A:$A,0))</f>
        <v>Colgate Toothpaste 200g</v>
      </c>
      <c r="I153" t="str">
        <f>INDEX(Products!$C:$C, MATCH(Sales_Enriched!C153,Products!$A:$A,0))</f>
        <v>Home Care</v>
      </c>
      <c r="J153" s="11">
        <f>INDEX(Products!$F:$F, MATCH(Sales_Enriched!C153,Products!$A:$A,0))</f>
        <v>95</v>
      </c>
      <c r="K153" t="str">
        <f>INDEX(Customers!$B:$B, MATCH(Sales_Enriched!D153,Customers!$A:$A,0))</f>
        <v>Kiran Reddy</v>
      </c>
      <c r="L153" t="str">
        <f>INDEX(Customers!$C:$C, MATCH(Sales_Enriched!D153,Customers!$A:$A,0))</f>
        <v>Mumbai</v>
      </c>
      <c r="M153" s="11">
        <f t="shared" si="10"/>
        <v>475</v>
      </c>
      <c r="N153" s="11">
        <f t="shared" si="11"/>
        <v>0</v>
      </c>
      <c r="O153" s="11">
        <f t="shared" si="12"/>
        <v>475</v>
      </c>
      <c r="P153">
        <f>HLOOKUP(TEXT(B153,"MMM"),'Monthly_Targets '!$A$1:$M$11, MATCH(Sales_Enriched!E153,'Monthly_Targets '!$A$1:$A$11,0),FALSE)</f>
        <v>765000</v>
      </c>
      <c r="Q153" t="str">
        <f t="shared" si="13"/>
        <v>No Discount</v>
      </c>
      <c r="R153" t="str">
        <f t="shared" si="14"/>
        <v>Poor</v>
      </c>
    </row>
    <row r="154" spans="1:18" x14ac:dyDescent="0.3">
      <c r="A154" s="2" t="s">
        <v>611</v>
      </c>
      <c r="B154" s="19">
        <v>45016</v>
      </c>
      <c r="C154" s="2" t="s">
        <v>86</v>
      </c>
      <c r="D154" s="2" t="s">
        <v>254</v>
      </c>
      <c r="E154" s="2" t="s">
        <v>159</v>
      </c>
      <c r="F154" s="2">
        <v>5</v>
      </c>
      <c r="G154" s="2">
        <v>0</v>
      </c>
      <c r="H154" t="str">
        <f>INDEX(Products!$B:$B,MATCH(Sales_Enriched!C154,Products!$A:$A,0))</f>
        <v>Milton Steel Bottle 1L</v>
      </c>
      <c r="I154" t="str">
        <f>INDEX(Products!$C:$C, MATCH(Sales_Enriched!C154,Products!$A:$A,0))</f>
        <v>Kitchenware</v>
      </c>
      <c r="J154" s="11">
        <f>INDEX(Products!$F:$F, MATCH(Sales_Enriched!C154,Products!$A:$A,0))</f>
        <v>599</v>
      </c>
      <c r="K154" t="str">
        <f>INDEX(Customers!$B:$B, MATCH(Sales_Enriched!D154,Customers!$A:$A,0))</f>
        <v>Dinesh Yadav</v>
      </c>
      <c r="L154" t="str">
        <f>INDEX(Customers!$C:$C, MATCH(Sales_Enriched!D154,Customers!$A:$A,0))</f>
        <v>Delhi</v>
      </c>
      <c r="M154" s="11">
        <f t="shared" si="10"/>
        <v>2995</v>
      </c>
      <c r="N154" s="11">
        <f t="shared" si="11"/>
        <v>0</v>
      </c>
      <c r="O154" s="11">
        <f t="shared" si="12"/>
        <v>2995</v>
      </c>
      <c r="P154">
        <f>HLOOKUP(TEXT(B154,"MMM"),'Monthly_Targets '!$A$1:$M$11, MATCH(Sales_Enriched!E154,'Monthly_Targets '!$A$1:$A$11,0),FALSE)</f>
        <v>389500</v>
      </c>
      <c r="Q154" t="str">
        <f t="shared" si="13"/>
        <v>No Discount</v>
      </c>
      <c r="R154" t="str">
        <f t="shared" si="14"/>
        <v>Poor</v>
      </c>
    </row>
    <row r="155" spans="1:18" x14ac:dyDescent="0.3">
      <c r="A155" s="3" t="s">
        <v>613</v>
      </c>
      <c r="B155" s="20">
        <v>45226</v>
      </c>
      <c r="C155" s="3" t="s">
        <v>75</v>
      </c>
      <c r="D155" s="3" t="s">
        <v>250</v>
      </c>
      <c r="E155" s="3" t="s">
        <v>126</v>
      </c>
      <c r="F155" s="3">
        <v>8</v>
      </c>
      <c r="G155" s="3">
        <v>10</v>
      </c>
      <c r="H155" t="str">
        <f>INDEX(Products!$B:$B,MATCH(Sales_Enriched!C155,Products!$A:$A,0))</f>
        <v>Nike T-Shirt</v>
      </c>
      <c r="I155" t="str">
        <f>INDEX(Products!$C:$C, MATCH(Sales_Enriched!C155,Products!$A:$A,0))</f>
        <v>Apparel</v>
      </c>
      <c r="J155" s="11">
        <f>INDEX(Products!$F:$F, MATCH(Sales_Enriched!C155,Products!$A:$A,0))</f>
        <v>1299</v>
      </c>
      <c r="K155" t="str">
        <f>INDEX(Customers!$B:$B, MATCH(Sales_Enriched!D155,Customers!$A:$A,0))</f>
        <v>Rekha Pillai</v>
      </c>
      <c r="L155" t="str">
        <f>INDEX(Customers!$C:$C, MATCH(Sales_Enriched!D155,Customers!$A:$A,0))</f>
        <v>Chennai</v>
      </c>
      <c r="M155" s="11">
        <f t="shared" si="10"/>
        <v>10392</v>
      </c>
      <c r="N155" s="11">
        <f t="shared" si="11"/>
        <v>1039.2</v>
      </c>
      <c r="O155" s="11">
        <f t="shared" si="12"/>
        <v>9352.7999999999993</v>
      </c>
      <c r="P155">
        <f>HLOOKUP(TEXT(B155,"MMM"),'Monthly_Targets '!$A$1:$M$11, MATCH(Sales_Enriched!E155,'Monthly_Targets '!$A$1:$A$11,0),FALSE)</f>
        <v>572000</v>
      </c>
      <c r="Q155" t="str">
        <f t="shared" si="13"/>
        <v>Low Discount</v>
      </c>
      <c r="R155" t="str">
        <f t="shared" si="14"/>
        <v>Poor</v>
      </c>
    </row>
    <row r="156" spans="1:18" x14ac:dyDescent="0.3">
      <c r="A156" s="2" t="s">
        <v>615</v>
      </c>
      <c r="B156" s="19">
        <v>45136</v>
      </c>
      <c r="C156" s="2" t="s">
        <v>60</v>
      </c>
      <c r="D156" s="2" t="s">
        <v>230</v>
      </c>
      <c r="E156" s="2" t="s">
        <v>126</v>
      </c>
      <c r="F156" s="2">
        <v>3</v>
      </c>
      <c r="G156" s="2">
        <v>10</v>
      </c>
      <c r="H156" t="str">
        <f>INDEX(Products!$B:$B,MATCH(Sales_Enriched!C156,Products!$A:$A,0))</f>
        <v>Lakme Lipstick</v>
      </c>
      <c r="I156" t="str">
        <f>INDEX(Products!$C:$C, MATCH(Sales_Enriched!C156,Products!$A:$A,0))</f>
        <v>Beauty</v>
      </c>
      <c r="J156" s="11">
        <f>INDEX(Products!$F:$F, MATCH(Sales_Enriched!C156,Products!$A:$A,0))</f>
        <v>350</v>
      </c>
      <c r="K156" t="str">
        <f>INDEX(Customers!$B:$B, MATCH(Sales_Enriched!D156,Customers!$A:$A,0))</f>
        <v>Manish Joshi</v>
      </c>
      <c r="L156" t="str">
        <f>INDEX(Customers!$C:$C, MATCH(Sales_Enriched!D156,Customers!$A:$A,0))</f>
        <v>Delhi</v>
      </c>
      <c r="M156" s="11">
        <f t="shared" si="10"/>
        <v>1050</v>
      </c>
      <c r="N156" s="11">
        <f t="shared" si="11"/>
        <v>105</v>
      </c>
      <c r="O156" s="11">
        <f t="shared" si="12"/>
        <v>945</v>
      </c>
      <c r="P156">
        <f>HLOOKUP(TEXT(B156,"MMM"),'Monthly_Targets '!$A$1:$M$11, MATCH(Sales_Enriched!E156,'Monthly_Targets '!$A$1:$A$11,0),FALSE)</f>
        <v>426400</v>
      </c>
      <c r="Q156" t="str">
        <f t="shared" si="13"/>
        <v>Low Discount</v>
      </c>
      <c r="R156" t="str">
        <f t="shared" si="14"/>
        <v>Poor</v>
      </c>
    </row>
    <row r="157" spans="1:18" x14ac:dyDescent="0.3">
      <c r="A157" s="3" t="s">
        <v>617</v>
      </c>
      <c r="B157" s="20">
        <v>45137</v>
      </c>
      <c r="C157" s="3" t="s">
        <v>86</v>
      </c>
      <c r="D157" s="3" t="s">
        <v>225</v>
      </c>
      <c r="E157" s="3" t="s">
        <v>153</v>
      </c>
      <c r="F157" s="3">
        <v>9</v>
      </c>
      <c r="G157" s="3">
        <v>0</v>
      </c>
      <c r="H157" t="str">
        <f>INDEX(Products!$B:$B,MATCH(Sales_Enriched!C157,Products!$A:$A,0))</f>
        <v>Milton Steel Bottle 1L</v>
      </c>
      <c r="I157" t="str">
        <f>INDEX(Products!$C:$C, MATCH(Sales_Enriched!C157,Products!$A:$A,0))</f>
        <v>Kitchenware</v>
      </c>
      <c r="J157" s="11">
        <f>INDEX(Products!$F:$F, MATCH(Sales_Enriched!C157,Products!$A:$A,0))</f>
        <v>599</v>
      </c>
      <c r="K157" t="str">
        <f>INDEX(Customers!$B:$B, MATCH(Sales_Enriched!D157,Customers!$A:$A,0))</f>
        <v>Rupa Devi</v>
      </c>
      <c r="L157" t="str">
        <f>INDEX(Customers!$C:$C, MATCH(Sales_Enriched!D157,Customers!$A:$A,0))</f>
        <v>Kolkata</v>
      </c>
      <c r="M157" s="11">
        <f t="shared" si="10"/>
        <v>5391</v>
      </c>
      <c r="N157" s="11">
        <f t="shared" si="11"/>
        <v>0</v>
      </c>
      <c r="O157" s="11">
        <f t="shared" si="12"/>
        <v>5391</v>
      </c>
      <c r="P157">
        <f>HLOOKUP(TEXT(B157,"MMM"),'Monthly_Targets '!$A$1:$M$11, MATCH(Sales_Enriched!E157,'Monthly_Targets '!$A$1:$A$11,0),FALSE)</f>
        <v>557600</v>
      </c>
      <c r="Q157" t="str">
        <f t="shared" si="13"/>
        <v>No Discount</v>
      </c>
      <c r="R157" t="str">
        <f t="shared" si="14"/>
        <v>Poor</v>
      </c>
    </row>
    <row r="158" spans="1:18" x14ac:dyDescent="0.3">
      <c r="A158" s="2" t="s">
        <v>619</v>
      </c>
      <c r="B158" s="19">
        <v>45159</v>
      </c>
      <c r="C158" s="2" t="s">
        <v>19</v>
      </c>
      <c r="D158" s="2" t="s">
        <v>230</v>
      </c>
      <c r="E158" s="2" t="s">
        <v>142</v>
      </c>
      <c r="F158" s="2">
        <v>6</v>
      </c>
      <c r="G158" s="2">
        <v>0</v>
      </c>
      <c r="H158" t="str">
        <f>INDEX(Products!$B:$B,MATCH(Sales_Enriched!C158,Products!$A:$A,0))</f>
        <v>Sunflower Oil 1L</v>
      </c>
      <c r="I158" t="str">
        <f>INDEX(Products!$C:$C, MATCH(Sales_Enriched!C158,Products!$A:$A,0))</f>
        <v>Grocery</v>
      </c>
      <c r="J158" s="11">
        <f>INDEX(Products!$F:$F, MATCH(Sales_Enriched!C158,Products!$A:$A,0))</f>
        <v>165</v>
      </c>
      <c r="K158" t="str">
        <f>INDEX(Customers!$B:$B, MATCH(Sales_Enriched!D158,Customers!$A:$A,0))</f>
        <v>Manish Joshi</v>
      </c>
      <c r="L158" t="str">
        <f>INDEX(Customers!$C:$C, MATCH(Sales_Enriched!D158,Customers!$A:$A,0))</f>
        <v>Delhi</v>
      </c>
      <c r="M158" s="11">
        <f t="shared" si="10"/>
        <v>990</v>
      </c>
      <c r="N158" s="11">
        <f t="shared" si="11"/>
        <v>0</v>
      </c>
      <c r="O158" s="11">
        <f t="shared" si="12"/>
        <v>990</v>
      </c>
      <c r="P158">
        <f>HLOOKUP(TEXT(B158,"MMM"),'Monthly_Targets '!$A$1:$M$11, MATCH(Sales_Enriched!E158,'Monthly_Targets '!$A$1:$A$11,0),FALSE)</f>
        <v>646000</v>
      </c>
      <c r="Q158" t="str">
        <f t="shared" si="13"/>
        <v>No Discount</v>
      </c>
      <c r="R158" t="str">
        <f t="shared" si="14"/>
        <v>Poor</v>
      </c>
    </row>
    <row r="159" spans="1:18" x14ac:dyDescent="0.3">
      <c r="A159" s="3" t="s">
        <v>620</v>
      </c>
      <c r="B159" s="20">
        <v>45133</v>
      </c>
      <c r="C159" s="3" t="s">
        <v>91</v>
      </c>
      <c r="D159" s="3" t="s">
        <v>181</v>
      </c>
      <c r="E159" s="3" t="s">
        <v>163</v>
      </c>
      <c r="F159" s="3">
        <v>8</v>
      </c>
      <c r="G159" s="3">
        <v>10</v>
      </c>
      <c r="H159" t="str">
        <f>INDEX(Products!$B:$B,MATCH(Sales_Enriched!C159,Products!$A:$A,0))</f>
        <v>Parle-G Biscuits 1kg</v>
      </c>
      <c r="I159" t="str">
        <f>INDEX(Products!$C:$C, MATCH(Sales_Enriched!C159,Products!$A:$A,0))</f>
        <v>Grocery</v>
      </c>
      <c r="J159" s="11">
        <f>INDEX(Products!$F:$F, MATCH(Sales_Enriched!C159,Products!$A:$A,0))</f>
        <v>95</v>
      </c>
      <c r="K159" t="str">
        <f>INDEX(Customers!$B:$B, MATCH(Sales_Enriched!D159,Customers!$A:$A,0))</f>
        <v>Aarav Sharma</v>
      </c>
      <c r="L159" t="str">
        <f>INDEX(Customers!$C:$C, MATCH(Sales_Enriched!D159,Customers!$A:$A,0))</f>
        <v>Delhi</v>
      </c>
      <c r="M159" s="11">
        <f t="shared" si="10"/>
        <v>760</v>
      </c>
      <c r="N159" s="11">
        <f t="shared" si="11"/>
        <v>76</v>
      </c>
      <c r="O159" s="11">
        <f t="shared" si="12"/>
        <v>684</v>
      </c>
      <c r="P159">
        <f>HLOOKUP(TEXT(B159,"MMM"),'Monthly_Targets '!$A$1:$M$11, MATCH(Sales_Enriched!E159,'Monthly_Targets '!$A$1:$A$11,0),FALSE)</f>
        <v>582100</v>
      </c>
      <c r="Q159" t="str">
        <f t="shared" si="13"/>
        <v>Low Discount</v>
      </c>
      <c r="R159" t="str">
        <f t="shared" si="14"/>
        <v>Poor</v>
      </c>
    </row>
    <row r="160" spans="1:18" x14ac:dyDescent="0.3">
      <c r="A160" s="2" t="s">
        <v>622</v>
      </c>
      <c r="B160" s="19">
        <v>44954</v>
      </c>
      <c r="C160" s="2" t="s">
        <v>39</v>
      </c>
      <c r="D160" s="2" t="s">
        <v>254</v>
      </c>
      <c r="E160" s="2" t="s">
        <v>149</v>
      </c>
      <c r="F160" s="2">
        <v>10</v>
      </c>
      <c r="G160" s="2">
        <v>15</v>
      </c>
      <c r="H160" t="str">
        <f>INDEX(Products!$B:$B,MATCH(Sales_Enriched!C160,Products!$A:$A,0))</f>
        <v>boAt Rockerz 450</v>
      </c>
      <c r="I160" t="str">
        <f>INDEX(Products!$C:$C, MATCH(Sales_Enriched!C160,Products!$A:$A,0))</f>
        <v>Electronics</v>
      </c>
      <c r="J160" s="11">
        <f>INDEX(Products!$F:$F, MATCH(Sales_Enriched!C160,Products!$A:$A,0))</f>
        <v>1499</v>
      </c>
      <c r="K160" t="str">
        <f>INDEX(Customers!$B:$B, MATCH(Sales_Enriched!D160,Customers!$A:$A,0))</f>
        <v>Dinesh Yadav</v>
      </c>
      <c r="L160" t="str">
        <f>INDEX(Customers!$C:$C, MATCH(Sales_Enriched!D160,Customers!$A:$A,0))</f>
        <v>Delhi</v>
      </c>
      <c r="M160" s="11">
        <f t="shared" si="10"/>
        <v>14990</v>
      </c>
      <c r="N160" s="11">
        <f t="shared" si="11"/>
        <v>2248.5</v>
      </c>
      <c r="O160" s="11">
        <f t="shared" si="12"/>
        <v>12741.5</v>
      </c>
      <c r="P160">
        <f>HLOOKUP(TEXT(B160,"MMM"),'Monthly_Targets '!$A$1:$M$11, MATCH(Sales_Enriched!E160,'Monthly_Targets '!$A$1:$A$11,0),FALSE)</f>
        <v>357000</v>
      </c>
      <c r="Q160" t="str">
        <f t="shared" si="13"/>
        <v>High Discount</v>
      </c>
      <c r="R160" t="str">
        <f t="shared" si="14"/>
        <v>Poor</v>
      </c>
    </row>
    <row r="161" spans="1:18" x14ac:dyDescent="0.3">
      <c r="A161" s="3" t="s">
        <v>624</v>
      </c>
      <c r="B161" s="20">
        <v>45247</v>
      </c>
      <c r="C161" s="3" t="s">
        <v>80</v>
      </c>
      <c r="D161" s="3" t="s">
        <v>188</v>
      </c>
      <c r="E161" s="3" t="s">
        <v>138</v>
      </c>
      <c r="F161" s="3">
        <v>5</v>
      </c>
      <c r="G161" s="3">
        <v>20</v>
      </c>
      <c r="H161" t="str">
        <f>INDEX(Products!$B:$B,MATCH(Sales_Enriched!C161,Products!$A:$A,0))</f>
        <v>Prestige Cooker 5L</v>
      </c>
      <c r="I161" t="str">
        <f>INDEX(Products!$C:$C, MATCH(Sales_Enriched!C161,Products!$A:$A,0))</f>
        <v>Kitchenware</v>
      </c>
      <c r="J161" s="11">
        <f>INDEX(Products!$F:$F, MATCH(Sales_Enriched!C161,Products!$A:$A,0))</f>
        <v>1850</v>
      </c>
      <c r="K161" t="str">
        <f>INDEX(Customers!$B:$B, MATCH(Sales_Enriched!D161,Customers!$A:$A,0))</f>
        <v>Priya Singh</v>
      </c>
      <c r="L161" t="str">
        <f>INDEX(Customers!$C:$C, MATCH(Sales_Enriched!D161,Customers!$A:$A,0))</f>
        <v>Mumbai</v>
      </c>
      <c r="M161" s="11">
        <f t="shared" si="10"/>
        <v>9250</v>
      </c>
      <c r="N161" s="11">
        <f t="shared" si="11"/>
        <v>1850</v>
      </c>
      <c r="O161" s="11">
        <f t="shared" si="12"/>
        <v>7400</v>
      </c>
      <c r="P161">
        <f>HLOOKUP(TEXT(B161,"MMM"),'Monthly_Targets '!$A$1:$M$11, MATCH(Sales_Enriched!E161,'Monthly_Targets '!$A$1:$A$11,0),FALSE)</f>
        <v>576000</v>
      </c>
      <c r="Q161" t="str">
        <f t="shared" si="13"/>
        <v>High Discount</v>
      </c>
      <c r="R161" t="str">
        <f t="shared" si="14"/>
        <v>Poor</v>
      </c>
    </row>
    <row r="162" spans="1:18" x14ac:dyDescent="0.3">
      <c r="A162" s="2" t="s">
        <v>625</v>
      </c>
      <c r="B162" s="19">
        <v>44994</v>
      </c>
      <c r="C162" s="2" t="s">
        <v>55</v>
      </c>
      <c r="D162" s="2" t="s">
        <v>246</v>
      </c>
      <c r="E162" s="2" t="s">
        <v>159</v>
      </c>
      <c r="F162" s="2">
        <v>2</v>
      </c>
      <c r="G162" s="2">
        <v>0</v>
      </c>
      <c r="H162" t="str">
        <f>INDEX(Products!$B:$B,MATCH(Sales_Enriched!C162,Products!$A:$A,0))</f>
        <v>Dettol Handwash 250ml</v>
      </c>
      <c r="I162" t="str">
        <f>INDEX(Products!$C:$C, MATCH(Sales_Enriched!C162,Products!$A:$A,0))</f>
        <v>Home Care</v>
      </c>
      <c r="J162" s="11">
        <f>INDEX(Products!$F:$F, MATCH(Sales_Enriched!C162,Products!$A:$A,0))</f>
        <v>95</v>
      </c>
      <c r="K162" t="str">
        <f>INDEX(Customers!$B:$B, MATCH(Sales_Enriched!D162,Customers!$A:$A,0))</f>
        <v>Arun Banerjee</v>
      </c>
      <c r="L162" t="str">
        <f>INDEX(Customers!$C:$C, MATCH(Sales_Enriched!D162,Customers!$A:$A,0))</f>
        <v>Kolkata</v>
      </c>
      <c r="M162" s="11">
        <f t="shared" si="10"/>
        <v>190</v>
      </c>
      <c r="N162" s="11">
        <f t="shared" si="11"/>
        <v>0</v>
      </c>
      <c r="O162" s="11">
        <f t="shared" si="12"/>
        <v>190</v>
      </c>
      <c r="P162">
        <f>HLOOKUP(TEXT(B162,"MMM"),'Monthly_Targets '!$A$1:$M$11, MATCH(Sales_Enriched!E162,'Monthly_Targets '!$A$1:$A$11,0),FALSE)</f>
        <v>389500</v>
      </c>
      <c r="Q162" t="str">
        <f t="shared" si="13"/>
        <v>No Discount</v>
      </c>
      <c r="R162" t="str">
        <f t="shared" si="14"/>
        <v>Poor</v>
      </c>
    </row>
    <row r="163" spans="1:18" x14ac:dyDescent="0.3">
      <c r="A163" s="3" t="s">
        <v>627</v>
      </c>
      <c r="B163" s="20">
        <v>45249</v>
      </c>
      <c r="C163" s="3" t="s">
        <v>106</v>
      </c>
      <c r="D163" s="3" t="s">
        <v>217</v>
      </c>
      <c r="E163" s="3" t="s">
        <v>131</v>
      </c>
      <c r="F163" s="3">
        <v>5</v>
      </c>
      <c r="G163" s="3">
        <v>20</v>
      </c>
      <c r="H163" t="str">
        <f>INDEX(Products!$B:$B,MATCH(Sales_Enriched!C163,Products!$A:$A,0))</f>
        <v>Woodland Shoes</v>
      </c>
      <c r="I163" t="str">
        <f>INDEX(Products!$C:$C, MATCH(Sales_Enriched!C163,Products!$A:$A,0))</f>
        <v>Apparel</v>
      </c>
      <c r="J163" s="11">
        <f>INDEX(Products!$F:$F, MATCH(Sales_Enriched!C163,Products!$A:$A,0))</f>
        <v>3499</v>
      </c>
      <c r="K163" t="str">
        <f>INDEX(Customers!$B:$B, MATCH(Sales_Enriched!D163,Customers!$A:$A,0))</f>
        <v>Kavitha Kumar</v>
      </c>
      <c r="L163" t="str">
        <f>INDEX(Customers!$C:$C, MATCH(Sales_Enriched!D163,Customers!$A:$A,0))</f>
        <v>Chennai</v>
      </c>
      <c r="M163" s="11">
        <f t="shared" si="10"/>
        <v>17495</v>
      </c>
      <c r="N163" s="11">
        <f t="shared" si="11"/>
        <v>3499</v>
      </c>
      <c r="O163" s="11">
        <f t="shared" si="12"/>
        <v>13996</v>
      </c>
      <c r="P163">
        <f>HLOOKUP(TEXT(B163,"MMM"),'Monthly_Targets '!$A$1:$M$11, MATCH(Sales_Enriched!E163,'Monthly_Targets '!$A$1:$A$11,0),FALSE)</f>
        <v>1104000</v>
      </c>
      <c r="Q163" t="str">
        <f t="shared" si="13"/>
        <v>High Discount</v>
      </c>
      <c r="R163" t="str">
        <f t="shared" si="14"/>
        <v>Poor</v>
      </c>
    </row>
    <row r="164" spans="1:18" x14ac:dyDescent="0.3">
      <c r="A164" s="2" t="s">
        <v>629</v>
      </c>
      <c r="B164" s="19">
        <v>44934</v>
      </c>
      <c r="C164" s="2" t="s">
        <v>96</v>
      </c>
      <c r="D164" s="2" t="s">
        <v>242</v>
      </c>
      <c r="E164" s="2" t="s">
        <v>126</v>
      </c>
      <c r="F164" s="2">
        <v>4</v>
      </c>
      <c r="G164" s="2">
        <v>0</v>
      </c>
      <c r="H164" t="str">
        <f>INDEX(Products!$B:$B,MATCH(Sales_Enriched!C164,Products!$A:$A,0))</f>
        <v>Maggi Noodles 12pk</v>
      </c>
      <c r="I164" t="str">
        <f>INDEX(Products!$C:$C, MATCH(Sales_Enriched!C164,Products!$A:$A,0))</f>
        <v>Grocery</v>
      </c>
      <c r="J164" s="11">
        <f>INDEX(Products!$F:$F, MATCH(Sales_Enriched!C164,Products!$A:$A,0))</f>
        <v>180</v>
      </c>
      <c r="K164" t="str">
        <f>INDEX(Customers!$B:$B, MATCH(Sales_Enriched!D164,Customers!$A:$A,0))</f>
        <v>Pooja Verma</v>
      </c>
      <c r="L164" t="str">
        <f>INDEX(Customers!$C:$C, MATCH(Sales_Enriched!D164,Customers!$A:$A,0))</f>
        <v>Bangalore</v>
      </c>
      <c r="M164" s="11">
        <f t="shared" si="10"/>
        <v>720</v>
      </c>
      <c r="N164" s="11">
        <f t="shared" si="11"/>
        <v>0</v>
      </c>
      <c r="O164" s="11">
        <f t="shared" si="12"/>
        <v>720</v>
      </c>
      <c r="P164">
        <f>HLOOKUP(TEXT(B164,"MMM"),'Monthly_Targets '!$A$1:$M$11, MATCH(Sales_Enriched!E164,'Monthly_Targets '!$A$1:$A$11,0),FALSE)</f>
        <v>442000</v>
      </c>
      <c r="Q164" t="str">
        <f t="shared" si="13"/>
        <v>No Discount</v>
      </c>
      <c r="R164" t="str">
        <f t="shared" si="14"/>
        <v>Poor</v>
      </c>
    </row>
    <row r="165" spans="1:18" x14ac:dyDescent="0.3">
      <c r="A165" s="3" t="s">
        <v>631</v>
      </c>
      <c r="B165" s="20">
        <v>45163</v>
      </c>
      <c r="C165" s="3" t="s">
        <v>24</v>
      </c>
      <c r="D165" s="3" t="s">
        <v>204</v>
      </c>
      <c r="E165" s="3" t="s">
        <v>159</v>
      </c>
      <c r="F165" s="3">
        <v>5</v>
      </c>
      <c r="G165" s="3">
        <v>20</v>
      </c>
      <c r="H165" t="str">
        <f>INDEX(Products!$B:$B,MATCH(Sales_Enriched!C165,Products!$A:$A,0))</f>
        <v>Amul Butter 500g</v>
      </c>
      <c r="I165" t="str">
        <f>INDEX(Products!$C:$C, MATCH(Sales_Enriched!C165,Products!$A:$A,0))</f>
        <v>Dairy</v>
      </c>
      <c r="J165" s="11">
        <f>INDEX(Products!$F:$F, MATCH(Sales_Enriched!C165,Products!$A:$A,0))</f>
        <v>275</v>
      </c>
      <c r="K165" t="str">
        <f>INDEX(Customers!$B:$B, MATCH(Sales_Enriched!D165,Customers!$A:$A,0))</f>
        <v>Rohan Gupta</v>
      </c>
      <c r="L165" t="str">
        <f>INDEX(Customers!$C:$C, MATCH(Sales_Enriched!D165,Customers!$A:$A,0))</f>
        <v>Delhi</v>
      </c>
      <c r="M165" s="11">
        <f t="shared" si="10"/>
        <v>1375</v>
      </c>
      <c r="N165" s="11">
        <f t="shared" si="11"/>
        <v>275</v>
      </c>
      <c r="O165" s="11">
        <f t="shared" si="12"/>
        <v>1100</v>
      </c>
      <c r="P165">
        <f>HLOOKUP(TEXT(B165,"MMM"),'Monthly_Targets '!$A$1:$M$11, MATCH(Sales_Enriched!E165,'Monthly_Targets '!$A$1:$A$11,0),FALSE)</f>
        <v>348500</v>
      </c>
      <c r="Q165" t="str">
        <f t="shared" si="13"/>
        <v>High Discount</v>
      </c>
      <c r="R165" t="str">
        <f t="shared" si="14"/>
        <v>Poor</v>
      </c>
    </row>
    <row r="166" spans="1:18" x14ac:dyDescent="0.3">
      <c r="A166" s="2" t="s">
        <v>633</v>
      </c>
      <c r="B166" s="19">
        <v>45288</v>
      </c>
      <c r="C166" s="2" t="s">
        <v>49</v>
      </c>
      <c r="D166" s="2" t="s">
        <v>242</v>
      </c>
      <c r="E166" s="2" t="s">
        <v>159</v>
      </c>
      <c r="F166" s="2">
        <v>8</v>
      </c>
      <c r="G166" s="2">
        <v>5</v>
      </c>
      <c r="H166" t="str">
        <f>INDEX(Products!$B:$B,MATCH(Sales_Enriched!C166,Products!$A:$A,0))</f>
        <v>Surf Excel 1kg</v>
      </c>
      <c r="I166" t="str">
        <f>INDEX(Products!$C:$C, MATCH(Sales_Enriched!C166,Products!$A:$A,0))</f>
        <v>Home Care</v>
      </c>
      <c r="J166" s="11">
        <f>INDEX(Products!$F:$F, MATCH(Sales_Enriched!C166,Products!$A:$A,0))</f>
        <v>210</v>
      </c>
      <c r="K166" t="str">
        <f>INDEX(Customers!$B:$B, MATCH(Sales_Enriched!D166,Customers!$A:$A,0))</f>
        <v>Pooja Verma</v>
      </c>
      <c r="L166" t="str">
        <f>INDEX(Customers!$C:$C, MATCH(Sales_Enriched!D166,Customers!$A:$A,0))</f>
        <v>Bangalore</v>
      </c>
      <c r="M166" s="11">
        <f t="shared" si="10"/>
        <v>1680</v>
      </c>
      <c r="N166" s="11">
        <f t="shared" si="11"/>
        <v>84</v>
      </c>
      <c r="O166" s="11">
        <f t="shared" si="12"/>
        <v>1596</v>
      </c>
      <c r="P166">
        <f>HLOOKUP(TEXT(B166,"MMM"),'Monthly_Targets '!$A$1:$M$11, MATCH(Sales_Enriched!E166,'Monthly_Targets '!$A$1:$A$11,0),FALSE)</f>
        <v>533000</v>
      </c>
      <c r="Q166" t="str">
        <f t="shared" si="13"/>
        <v>Low Discount</v>
      </c>
      <c r="R166" t="str">
        <f t="shared" si="14"/>
        <v>Poor</v>
      </c>
    </row>
    <row r="167" spans="1:18" x14ac:dyDescent="0.3">
      <c r="A167" s="3" t="s">
        <v>634</v>
      </c>
      <c r="B167" s="20">
        <v>45160</v>
      </c>
      <c r="C167" s="3" t="s">
        <v>96</v>
      </c>
      <c r="D167" s="3" t="s">
        <v>204</v>
      </c>
      <c r="E167" s="3" t="s">
        <v>153</v>
      </c>
      <c r="F167" s="3">
        <v>4</v>
      </c>
      <c r="G167" s="3">
        <v>20</v>
      </c>
      <c r="H167" t="str">
        <f>INDEX(Products!$B:$B,MATCH(Sales_Enriched!C167,Products!$A:$A,0))</f>
        <v>Maggi Noodles 12pk</v>
      </c>
      <c r="I167" t="str">
        <f>INDEX(Products!$C:$C, MATCH(Sales_Enriched!C167,Products!$A:$A,0))</f>
        <v>Grocery</v>
      </c>
      <c r="J167" s="11">
        <f>INDEX(Products!$F:$F, MATCH(Sales_Enriched!C167,Products!$A:$A,0))</f>
        <v>180</v>
      </c>
      <c r="K167" t="str">
        <f>INDEX(Customers!$B:$B, MATCH(Sales_Enriched!D167,Customers!$A:$A,0))</f>
        <v>Rohan Gupta</v>
      </c>
      <c r="L167" t="str">
        <f>INDEX(Customers!$C:$C, MATCH(Sales_Enriched!D167,Customers!$A:$A,0))</f>
        <v>Delhi</v>
      </c>
      <c r="M167" s="11">
        <f t="shared" si="10"/>
        <v>720</v>
      </c>
      <c r="N167" s="11">
        <f t="shared" si="11"/>
        <v>144</v>
      </c>
      <c r="O167" s="11">
        <f t="shared" si="12"/>
        <v>576</v>
      </c>
      <c r="P167">
        <f>HLOOKUP(TEXT(B167,"MMM"),'Monthly_Targets '!$A$1:$M$11, MATCH(Sales_Enriched!E167,'Monthly_Targets '!$A$1:$A$11,0),FALSE)</f>
        <v>578000</v>
      </c>
      <c r="Q167" t="str">
        <f t="shared" si="13"/>
        <v>High Discount</v>
      </c>
      <c r="R167" t="str">
        <f t="shared" si="14"/>
        <v>Poor</v>
      </c>
    </row>
    <row r="168" spans="1:18" x14ac:dyDescent="0.3">
      <c r="A168" s="2" t="s">
        <v>635</v>
      </c>
      <c r="B168" s="19">
        <v>44996</v>
      </c>
      <c r="C168" s="2" t="s">
        <v>19</v>
      </c>
      <c r="D168" s="2" t="s">
        <v>221</v>
      </c>
      <c r="E168" s="2" t="s">
        <v>153</v>
      </c>
      <c r="F168" s="2">
        <v>6</v>
      </c>
      <c r="G168" s="2">
        <v>20</v>
      </c>
      <c r="H168" t="str">
        <f>INDEX(Products!$B:$B,MATCH(Sales_Enriched!C168,Products!$A:$A,0))</f>
        <v>Sunflower Oil 1L</v>
      </c>
      <c r="I168" t="str">
        <f>INDEX(Products!$C:$C, MATCH(Sales_Enriched!C168,Products!$A:$A,0))</f>
        <v>Grocery</v>
      </c>
      <c r="J168" s="11">
        <f>INDEX(Products!$F:$F, MATCH(Sales_Enriched!C168,Products!$A:$A,0))</f>
        <v>165</v>
      </c>
      <c r="K168" t="str">
        <f>INDEX(Customers!$B:$B, MATCH(Sales_Enriched!D168,Customers!$A:$A,0))</f>
        <v>Suresh Ghosh</v>
      </c>
      <c r="L168" t="str">
        <f>INDEX(Customers!$C:$C, MATCH(Sales_Enriched!D168,Customers!$A:$A,0))</f>
        <v>Kolkata</v>
      </c>
      <c r="M168" s="11">
        <f t="shared" si="10"/>
        <v>990</v>
      </c>
      <c r="N168" s="11">
        <f t="shared" si="11"/>
        <v>198</v>
      </c>
      <c r="O168" s="11">
        <f t="shared" si="12"/>
        <v>792</v>
      </c>
      <c r="P168">
        <f>HLOOKUP(TEXT(B168,"MMM"),'Monthly_Targets '!$A$1:$M$11, MATCH(Sales_Enriched!E168,'Monthly_Targets '!$A$1:$A$11,0),FALSE)</f>
        <v>646000</v>
      </c>
      <c r="Q168" t="str">
        <f t="shared" si="13"/>
        <v>High Discount</v>
      </c>
      <c r="R168" t="str">
        <f t="shared" si="14"/>
        <v>Poor</v>
      </c>
    </row>
    <row r="169" spans="1:18" x14ac:dyDescent="0.3">
      <c r="A169" s="3" t="s">
        <v>637</v>
      </c>
      <c r="B169" s="20">
        <v>45063</v>
      </c>
      <c r="C169" s="3" t="s">
        <v>8</v>
      </c>
      <c r="D169" s="3" t="s">
        <v>225</v>
      </c>
      <c r="E169" s="3" t="s">
        <v>142</v>
      </c>
      <c r="F169" s="3">
        <v>10</v>
      </c>
      <c r="G169" s="3">
        <v>15</v>
      </c>
      <c r="H169" t="str">
        <f>INDEX(Products!$B:$B,MATCH(Sales_Enriched!C169,Products!$A:$A,0))</f>
        <v>Basmati Rice 5kg</v>
      </c>
      <c r="I169" t="str">
        <f>INDEX(Products!$C:$C, MATCH(Sales_Enriched!C169,Products!$A:$A,0))</f>
        <v>Grocery</v>
      </c>
      <c r="J169" s="11">
        <f>INDEX(Products!$F:$F, MATCH(Sales_Enriched!C169,Products!$A:$A,0))</f>
        <v>320</v>
      </c>
      <c r="K169" t="str">
        <f>INDEX(Customers!$B:$B, MATCH(Sales_Enriched!D169,Customers!$A:$A,0))</f>
        <v>Rupa Devi</v>
      </c>
      <c r="L169" t="str">
        <f>INDEX(Customers!$C:$C, MATCH(Sales_Enriched!D169,Customers!$A:$A,0))</f>
        <v>Kolkata</v>
      </c>
      <c r="M169" s="11">
        <f t="shared" si="10"/>
        <v>3200</v>
      </c>
      <c r="N169" s="11">
        <f t="shared" si="11"/>
        <v>480</v>
      </c>
      <c r="O169" s="11">
        <f t="shared" si="12"/>
        <v>2720</v>
      </c>
      <c r="P169">
        <f>HLOOKUP(TEXT(B169,"MMM"),'Monthly_Targets '!$A$1:$M$11, MATCH(Sales_Enriched!E169,'Monthly_Targets '!$A$1:$A$11,0),FALSE)</f>
        <v>699200</v>
      </c>
      <c r="Q169" t="str">
        <f t="shared" si="13"/>
        <v>High Discount</v>
      </c>
      <c r="R169" t="str">
        <f t="shared" si="14"/>
        <v>Poor</v>
      </c>
    </row>
    <row r="170" spans="1:18" x14ac:dyDescent="0.3">
      <c r="A170" s="2" t="s">
        <v>639</v>
      </c>
      <c r="B170" s="19">
        <v>45003</v>
      </c>
      <c r="C170" s="2" t="s">
        <v>80</v>
      </c>
      <c r="D170" s="2" t="s">
        <v>258</v>
      </c>
      <c r="E170" s="2" t="s">
        <v>159</v>
      </c>
      <c r="F170" s="2">
        <v>6</v>
      </c>
      <c r="G170" s="2">
        <v>10</v>
      </c>
      <c r="H170" t="str">
        <f>INDEX(Products!$B:$B,MATCH(Sales_Enriched!C170,Products!$A:$A,0))</f>
        <v>Prestige Cooker 5L</v>
      </c>
      <c r="I170" t="str">
        <f>INDEX(Products!$C:$C, MATCH(Sales_Enriched!C170,Products!$A:$A,0))</f>
        <v>Kitchenware</v>
      </c>
      <c r="J170" s="11">
        <f>INDEX(Products!$F:$F, MATCH(Sales_Enriched!C170,Products!$A:$A,0))</f>
        <v>1850</v>
      </c>
      <c r="K170" t="str">
        <f>INDEX(Customers!$B:$B, MATCH(Sales_Enriched!D170,Customers!$A:$A,0))</f>
        <v>Sudha Sharma</v>
      </c>
      <c r="L170" t="str">
        <f>INDEX(Customers!$C:$C, MATCH(Sales_Enriched!D170,Customers!$A:$A,0))</f>
        <v>Bangalore</v>
      </c>
      <c r="M170" s="11">
        <f t="shared" si="10"/>
        <v>11100</v>
      </c>
      <c r="N170" s="11">
        <f t="shared" si="11"/>
        <v>1110</v>
      </c>
      <c r="O170" s="11">
        <f t="shared" si="12"/>
        <v>9990</v>
      </c>
      <c r="P170">
        <f>HLOOKUP(TEXT(B170,"MMM"),'Monthly_Targets '!$A$1:$M$11, MATCH(Sales_Enriched!E170,'Monthly_Targets '!$A$1:$A$11,0),FALSE)</f>
        <v>389500</v>
      </c>
      <c r="Q170" t="str">
        <f t="shared" si="13"/>
        <v>Low Discount</v>
      </c>
      <c r="R170" t="str">
        <f t="shared" si="14"/>
        <v>Poor</v>
      </c>
    </row>
    <row r="171" spans="1:18" x14ac:dyDescent="0.3">
      <c r="A171" s="3" t="s">
        <v>641</v>
      </c>
      <c r="B171" s="20">
        <v>45209</v>
      </c>
      <c r="C171" s="3" t="s">
        <v>96</v>
      </c>
      <c r="D171" s="3" t="s">
        <v>238</v>
      </c>
      <c r="E171" s="3" t="s">
        <v>159</v>
      </c>
      <c r="F171" s="3">
        <v>6</v>
      </c>
      <c r="G171" s="3">
        <v>5</v>
      </c>
      <c r="H171" t="str">
        <f>INDEX(Products!$B:$B,MATCH(Sales_Enriched!C171,Products!$A:$A,0))</f>
        <v>Maggi Noodles 12pk</v>
      </c>
      <c r="I171" t="str">
        <f>INDEX(Products!$C:$C, MATCH(Sales_Enriched!C171,Products!$A:$A,0))</f>
        <v>Grocery</v>
      </c>
      <c r="J171" s="11">
        <f>INDEX(Products!$F:$F, MATCH(Sales_Enriched!C171,Products!$A:$A,0))</f>
        <v>180</v>
      </c>
      <c r="K171" t="str">
        <f>INDEX(Customers!$B:$B, MATCH(Sales_Enriched!D171,Customers!$A:$A,0))</f>
        <v>Sanjay Iyer</v>
      </c>
      <c r="L171" t="str">
        <f>INDEX(Customers!$C:$C, MATCH(Sales_Enriched!D171,Customers!$A:$A,0))</f>
        <v>Chennai</v>
      </c>
      <c r="M171" s="11">
        <f t="shared" si="10"/>
        <v>1080</v>
      </c>
      <c r="N171" s="11">
        <f t="shared" si="11"/>
        <v>54</v>
      </c>
      <c r="O171" s="11">
        <f t="shared" si="12"/>
        <v>1026</v>
      </c>
      <c r="P171">
        <f>HLOOKUP(TEXT(B171,"MMM"),'Monthly_Targets '!$A$1:$M$11, MATCH(Sales_Enriched!E171,'Monthly_Targets '!$A$1:$A$11,0),FALSE)</f>
        <v>451000</v>
      </c>
      <c r="Q171" t="str">
        <f t="shared" si="13"/>
        <v>Low Discount</v>
      </c>
      <c r="R171" t="str">
        <f t="shared" si="14"/>
        <v>Poor</v>
      </c>
    </row>
    <row r="172" spans="1:18" x14ac:dyDescent="0.3">
      <c r="A172" s="2" t="s">
        <v>643</v>
      </c>
      <c r="B172" s="19">
        <v>45284</v>
      </c>
      <c r="C172" s="2" t="s">
        <v>44</v>
      </c>
      <c r="D172" s="2" t="s">
        <v>262</v>
      </c>
      <c r="E172" s="2" t="s">
        <v>153</v>
      </c>
      <c r="F172" s="2">
        <v>4</v>
      </c>
      <c r="G172" s="2">
        <v>10</v>
      </c>
      <c r="H172" t="str">
        <f>INDEX(Products!$B:$B,MATCH(Sales_Enriched!C172,Products!$A:$A,0))</f>
        <v>Philips LED Bulb 9W</v>
      </c>
      <c r="I172" t="str">
        <f>INDEX(Products!$C:$C, MATCH(Sales_Enriched!C172,Products!$A:$A,0))</f>
        <v>Electronics</v>
      </c>
      <c r="J172" s="11">
        <f>INDEX(Products!$F:$F, MATCH(Sales_Enriched!C172,Products!$A:$A,0))</f>
        <v>129</v>
      </c>
      <c r="K172" t="str">
        <f>INDEX(Customers!$B:$B, MATCH(Sales_Enriched!D172,Customers!$A:$A,0))</f>
        <v>Kiran Reddy</v>
      </c>
      <c r="L172" t="str">
        <f>INDEX(Customers!$C:$C, MATCH(Sales_Enriched!D172,Customers!$A:$A,0))</f>
        <v>Mumbai</v>
      </c>
      <c r="M172" s="11">
        <f t="shared" si="10"/>
        <v>516</v>
      </c>
      <c r="N172" s="11">
        <f t="shared" si="11"/>
        <v>51.6</v>
      </c>
      <c r="O172" s="11">
        <f t="shared" si="12"/>
        <v>464.4</v>
      </c>
      <c r="P172">
        <f>HLOOKUP(TEXT(B172,"MMM"),'Monthly_Targets '!$A$1:$M$11, MATCH(Sales_Enriched!E172,'Monthly_Targets '!$A$1:$A$11,0),FALSE)</f>
        <v>884000</v>
      </c>
      <c r="Q172" t="str">
        <f t="shared" si="13"/>
        <v>Low Discount</v>
      </c>
      <c r="R172" t="str">
        <f t="shared" si="14"/>
        <v>Poor</v>
      </c>
    </row>
    <row r="173" spans="1:18" x14ac:dyDescent="0.3">
      <c r="A173" s="3" t="s">
        <v>644</v>
      </c>
      <c r="B173" s="20">
        <v>44949</v>
      </c>
      <c r="C173" s="3" t="s">
        <v>60</v>
      </c>
      <c r="D173" s="3" t="s">
        <v>250</v>
      </c>
      <c r="E173" s="3" t="s">
        <v>153</v>
      </c>
      <c r="F173" s="3">
        <v>7</v>
      </c>
      <c r="G173" s="3">
        <v>0</v>
      </c>
      <c r="H173" t="str">
        <f>INDEX(Products!$B:$B,MATCH(Sales_Enriched!C173,Products!$A:$A,0))</f>
        <v>Lakme Lipstick</v>
      </c>
      <c r="I173" t="str">
        <f>INDEX(Products!$C:$C, MATCH(Sales_Enriched!C173,Products!$A:$A,0))</f>
        <v>Beauty</v>
      </c>
      <c r="J173" s="11">
        <f>INDEX(Products!$F:$F, MATCH(Sales_Enriched!C173,Products!$A:$A,0))</f>
        <v>350</v>
      </c>
      <c r="K173" t="str">
        <f>INDEX(Customers!$B:$B, MATCH(Sales_Enriched!D173,Customers!$A:$A,0))</f>
        <v>Rekha Pillai</v>
      </c>
      <c r="L173" t="str">
        <f>INDEX(Customers!$C:$C, MATCH(Sales_Enriched!D173,Customers!$A:$A,0))</f>
        <v>Chennai</v>
      </c>
      <c r="M173" s="11">
        <f t="shared" si="10"/>
        <v>2450</v>
      </c>
      <c r="N173" s="11">
        <f t="shared" si="11"/>
        <v>0</v>
      </c>
      <c r="O173" s="11">
        <f t="shared" si="12"/>
        <v>2450</v>
      </c>
      <c r="P173">
        <f>HLOOKUP(TEXT(B173,"MMM"),'Monthly_Targets '!$A$1:$M$11, MATCH(Sales_Enriched!E173,'Monthly_Targets '!$A$1:$A$11,0),FALSE)</f>
        <v>578000</v>
      </c>
      <c r="Q173" t="str">
        <f t="shared" si="13"/>
        <v>No Discount</v>
      </c>
      <c r="R173" t="str">
        <f t="shared" si="14"/>
        <v>Poor</v>
      </c>
    </row>
    <row r="174" spans="1:18" x14ac:dyDescent="0.3">
      <c r="A174" s="2" t="s">
        <v>646</v>
      </c>
      <c r="B174" s="19">
        <v>45180</v>
      </c>
      <c r="C174" s="2" t="s">
        <v>14</v>
      </c>
      <c r="D174" s="2" t="s">
        <v>204</v>
      </c>
      <c r="E174" s="2" t="s">
        <v>163</v>
      </c>
      <c r="F174" s="2">
        <v>10</v>
      </c>
      <c r="G174" s="2">
        <v>10</v>
      </c>
      <c r="H174" t="str">
        <f>INDEX(Products!$B:$B,MATCH(Sales_Enriched!C174,Products!$A:$A,0))</f>
        <v>Toor Dal 1kg</v>
      </c>
      <c r="I174" t="str">
        <f>INDEX(Products!$C:$C, MATCH(Sales_Enriched!C174,Products!$A:$A,0))</f>
        <v>Grocery</v>
      </c>
      <c r="J174" s="11">
        <f>INDEX(Products!$F:$F, MATCH(Sales_Enriched!C174,Products!$A:$A,0))</f>
        <v>145</v>
      </c>
      <c r="K174" t="str">
        <f>INDEX(Customers!$B:$B, MATCH(Sales_Enriched!D174,Customers!$A:$A,0))</f>
        <v>Rohan Gupta</v>
      </c>
      <c r="L174" t="str">
        <f>INDEX(Customers!$C:$C, MATCH(Sales_Enriched!D174,Customers!$A:$A,0))</f>
        <v>Delhi</v>
      </c>
      <c r="M174" s="11">
        <f t="shared" si="10"/>
        <v>1450</v>
      </c>
      <c r="N174" s="11">
        <f t="shared" si="11"/>
        <v>145</v>
      </c>
      <c r="O174" s="11">
        <f t="shared" si="12"/>
        <v>1305</v>
      </c>
      <c r="P174">
        <f>HLOOKUP(TEXT(B174,"MMM"),'Monthly_Targets '!$A$1:$M$11, MATCH(Sales_Enriched!E174,'Monthly_Targets '!$A$1:$A$11,0),FALSE)</f>
        <v>674500</v>
      </c>
      <c r="Q174" t="str">
        <f t="shared" si="13"/>
        <v>Low Discount</v>
      </c>
      <c r="R174" t="str">
        <f t="shared" si="14"/>
        <v>Poor</v>
      </c>
    </row>
    <row r="175" spans="1:18" x14ac:dyDescent="0.3">
      <c r="A175" s="3" t="s">
        <v>648</v>
      </c>
      <c r="B175" s="20">
        <v>44978</v>
      </c>
      <c r="C175" s="3" t="s">
        <v>80</v>
      </c>
      <c r="D175" s="3" t="s">
        <v>199</v>
      </c>
      <c r="E175" s="3" t="s">
        <v>163</v>
      </c>
      <c r="F175" s="3">
        <v>8</v>
      </c>
      <c r="G175" s="3">
        <v>0</v>
      </c>
      <c r="H175" t="str">
        <f>INDEX(Products!$B:$B,MATCH(Sales_Enriched!C175,Products!$A:$A,0))</f>
        <v>Prestige Cooker 5L</v>
      </c>
      <c r="I175" t="str">
        <f>INDEX(Products!$C:$C, MATCH(Sales_Enriched!C175,Products!$A:$A,0))</f>
        <v>Kitchenware</v>
      </c>
      <c r="J175" s="11">
        <f>INDEX(Products!$F:$F, MATCH(Sales_Enriched!C175,Products!$A:$A,0))</f>
        <v>1850</v>
      </c>
      <c r="K175" t="str">
        <f>INDEX(Customers!$B:$B, MATCH(Sales_Enriched!D175,Customers!$A:$A,0))</f>
        <v>Sunita Rao</v>
      </c>
      <c r="L175" t="str">
        <f>INDEX(Customers!$C:$C, MATCH(Sales_Enriched!D175,Customers!$A:$A,0))</f>
        <v>Chennai</v>
      </c>
      <c r="M175" s="11">
        <f t="shared" si="10"/>
        <v>14800</v>
      </c>
      <c r="N175" s="11">
        <f t="shared" si="11"/>
        <v>0</v>
      </c>
      <c r="O175" s="11">
        <f t="shared" si="12"/>
        <v>14800</v>
      </c>
      <c r="P175">
        <f>HLOOKUP(TEXT(B175,"MMM"),'Monthly_Targets '!$A$1:$M$11, MATCH(Sales_Enriched!E175,'Monthly_Targets '!$A$1:$A$11,0),FALSE)</f>
        <v>624800</v>
      </c>
      <c r="Q175" t="str">
        <f t="shared" si="13"/>
        <v>No Discount</v>
      </c>
      <c r="R175" t="str">
        <f t="shared" si="14"/>
        <v>Poor</v>
      </c>
    </row>
    <row r="176" spans="1:18" x14ac:dyDescent="0.3">
      <c r="A176" s="2" t="s">
        <v>650</v>
      </c>
      <c r="B176" s="19">
        <v>45000</v>
      </c>
      <c r="C176" s="2" t="s">
        <v>75</v>
      </c>
      <c r="D176" s="2" t="s">
        <v>204</v>
      </c>
      <c r="E176" s="2" t="s">
        <v>126</v>
      </c>
      <c r="F176" s="2">
        <v>8</v>
      </c>
      <c r="G176" s="2">
        <v>5</v>
      </c>
      <c r="H176" t="str">
        <f>INDEX(Products!$B:$B,MATCH(Sales_Enriched!C176,Products!$A:$A,0))</f>
        <v>Nike T-Shirt</v>
      </c>
      <c r="I176" t="str">
        <f>INDEX(Products!$C:$C, MATCH(Sales_Enriched!C176,Products!$A:$A,0))</f>
        <v>Apparel</v>
      </c>
      <c r="J176" s="11">
        <f>INDEX(Products!$F:$F, MATCH(Sales_Enriched!C176,Products!$A:$A,0))</f>
        <v>1299</v>
      </c>
      <c r="K176" t="str">
        <f>INDEX(Customers!$B:$B, MATCH(Sales_Enriched!D176,Customers!$A:$A,0))</f>
        <v>Rohan Gupta</v>
      </c>
      <c r="L176" t="str">
        <f>INDEX(Customers!$C:$C, MATCH(Sales_Enriched!D176,Customers!$A:$A,0))</f>
        <v>Delhi</v>
      </c>
      <c r="M176" s="11">
        <f t="shared" si="10"/>
        <v>10392</v>
      </c>
      <c r="N176" s="11">
        <f t="shared" si="11"/>
        <v>519.6</v>
      </c>
      <c r="O176" s="11">
        <f t="shared" si="12"/>
        <v>9872.4</v>
      </c>
      <c r="P176">
        <f>HLOOKUP(TEXT(B176,"MMM"),'Monthly_Targets '!$A$1:$M$11, MATCH(Sales_Enriched!E176,'Monthly_Targets '!$A$1:$A$11,0),FALSE)</f>
        <v>494000</v>
      </c>
      <c r="Q176" t="str">
        <f t="shared" si="13"/>
        <v>Low Discount</v>
      </c>
      <c r="R176" t="str">
        <f t="shared" si="14"/>
        <v>Poor</v>
      </c>
    </row>
    <row r="177" spans="1:18" x14ac:dyDescent="0.3">
      <c r="A177" s="3" t="s">
        <v>652</v>
      </c>
      <c r="B177" s="20">
        <v>45100</v>
      </c>
      <c r="C177" s="3" t="s">
        <v>106</v>
      </c>
      <c r="D177" s="3" t="s">
        <v>238</v>
      </c>
      <c r="E177" s="3" t="s">
        <v>126</v>
      </c>
      <c r="F177" s="3">
        <v>6</v>
      </c>
      <c r="G177" s="3">
        <v>20</v>
      </c>
      <c r="H177" t="str">
        <f>INDEX(Products!$B:$B,MATCH(Sales_Enriched!C177,Products!$A:$A,0))</f>
        <v>Woodland Shoes</v>
      </c>
      <c r="I177" t="str">
        <f>INDEX(Products!$C:$C, MATCH(Sales_Enriched!C177,Products!$A:$A,0))</f>
        <v>Apparel</v>
      </c>
      <c r="J177" s="11">
        <f>INDEX(Products!$F:$F, MATCH(Sales_Enriched!C177,Products!$A:$A,0))</f>
        <v>3499</v>
      </c>
      <c r="K177" t="str">
        <f>INDEX(Customers!$B:$B, MATCH(Sales_Enriched!D177,Customers!$A:$A,0))</f>
        <v>Sanjay Iyer</v>
      </c>
      <c r="L177" t="str">
        <f>INDEX(Customers!$C:$C, MATCH(Sales_Enriched!D177,Customers!$A:$A,0))</f>
        <v>Chennai</v>
      </c>
      <c r="M177" s="11">
        <f t="shared" si="10"/>
        <v>20994</v>
      </c>
      <c r="N177" s="11">
        <f t="shared" si="11"/>
        <v>4198.8</v>
      </c>
      <c r="O177" s="11">
        <f t="shared" si="12"/>
        <v>16795.2</v>
      </c>
      <c r="P177">
        <f>HLOOKUP(TEXT(B177,"MMM"),'Monthly_Targets '!$A$1:$M$11, MATCH(Sales_Enriched!E177,'Monthly_Targets '!$A$1:$A$11,0),FALSE)</f>
        <v>457600</v>
      </c>
      <c r="Q177" t="str">
        <f t="shared" si="13"/>
        <v>High Discount</v>
      </c>
      <c r="R177" t="str">
        <f t="shared" si="14"/>
        <v>Poor</v>
      </c>
    </row>
    <row r="178" spans="1:18" x14ac:dyDescent="0.3">
      <c r="A178" s="2" t="s">
        <v>654</v>
      </c>
      <c r="B178" s="19">
        <v>45121</v>
      </c>
      <c r="C178" s="2" t="s">
        <v>60</v>
      </c>
      <c r="D178" s="2" t="s">
        <v>250</v>
      </c>
      <c r="E178" s="2" t="s">
        <v>163</v>
      </c>
      <c r="F178" s="2">
        <v>1</v>
      </c>
      <c r="G178" s="2">
        <v>0</v>
      </c>
      <c r="H178" t="str">
        <f>INDEX(Products!$B:$B,MATCH(Sales_Enriched!C178,Products!$A:$A,0))</f>
        <v>Lakme Lipstick</v>
      </c>
      <c r="I178" t="str">
        <f>INDEX(Products!$C:$C, MATCH(Sales_Enriched!C178,Products!$A:$A,0))</f>
        <v>Beauty</v>
      </c>
      <c r="J178" s="11">
        <f>INDEX(Products!$F:$F, MATCH(Sales_Enriched!C178,Products!$A:$A,0))</f>
        <v>350</v>
      </c>
      <c r="K178" t="str">
        <f>INDEX(Customers!$B:$B, MATCH(Sales_Enriched!D178,Customers!$A:$A,0))</f>
        <v>Rekha Pillai</v>
      </c>
      <c r="L178" t="str">
        <f>INDEX(Customers!$C:$C, MATCH(Sales_Enriched!D178,Customers!$A:$A,0))</f>
        <v>Chennai</v>
      </c>
      <c r="M178" s="11">
        <f t="shared" si="10"/>
        <v>350</v>
      </c>
      <c r="N178" s="11">
        <f t="shared" si="11"/>
        <v>0</v>
      </c>
      <c r="O178" s="11">
        <f t="shared" si="12"/>
        <v>350</v>
      </c>
      <c r="P178">
        <f>HLOOKUP(TEXT(B178,"MMM"),'Monthly_Targets '!$A$1:$M$11, MATCH(Sales_Enriched!E178,'Monthly_Targets '!$A$1:$A$11,0),FALSE)</f>
        <v>582100</v>
      </c>
      <c r="Q178" t="str">
        <f t="shared" si="13"/>
        <v>No Discount</v>
      </c>
      <c r="R178" t="str">
        <f t="shared" si="14"/>
        <v>Poor</v>
      </c>
    </row>
    <row r="179" spans="1:18" x14ac:dyDescent="0.3">
      <c r="A179" s="3" t="s">
        <v>656</v>
      </c>
      <c r="B179" s="20">
        <v>45047</v>
      </c>
      <c r="C179" s="3" t="s">
        <v>55</v>
      </c>
      <c r="D179" s="3" t="s">
        <v>217</v>
      </c>
      <c r="E179" s="3" t="s">
        <v>126</v>
      </c>
      <c r="F179" s="3">
        <v>7</v>
      </c>
      <c r="G179" s="3">
        <v>0</v>
      </c>
      <c r="H179" t="str">
        <f>INDEX(Products!$B:$B,MATCH(Sales_Enriched!C179,Products!$A:$A,0))</f>
        <v>Dettol Handwash 250ml</v>
      </c>
      <c r="I179" t="str">
        <f>INDEX(Products!$C:$C, MATCH(Sales_Enriched!C179,Products!$A:$A,0))</f>
        <v>Home Care</v>
      </c>
      <c r="J179" s="11">
        <f>INDEX(Products!$F:$F, MATCH(Sales_Enriched!C179,Products!$A:$A,0))</f>
        <v>95</v>
      </c>
      <c r="K179" t="str">
        <f>INDEX(Customers!$B:$B, MATCH(Sales_Enriched!D179,Customers!$A:$A,0))</f>
        <v>Kavitha Kumar</v>
      </c>
      <c r="L179" t="str">
        <f>INDEX(Customers!$C:$C, MATCH(Sales_Enriched!D179,Customers!$A:$A,0))</f>
        <v>Chennai</v>
      </c>
      <c r="M179" s="11">
        <f t="shared" si="10"/>
        <v>665</v>
      </c>
      <c r="N179" s="11">
        <f t="shared" si="11"/>
        <v>0</v>
      </c>
      <c r="O179" s="11">
        <f t="shared" si="12"/>
        <v>665</v>
      </c>
      <c r="P179">
        <f>HLOOKUP(TEXT(B179,"MMM"),'Monthly_Targets '!$A$1:$M$11, MATCH(Sales_Enriched!E179,'Monthly_Targets '!$A$1:$A$11,0),FALSE)</f>
        <v>478400</v>
      </c>
      <c r="Q179" t="str">
        <f t="shared" si="13"/>
        <v>No Discount</v>
      </c>
      <c r="R179" t="str">
        <f t="shared" si="14"/>
        <v>Poor</v>
      </c>
    </row>
    <row r="180" spans="1:18" x14ac:dyDescent="0.3">
      <c r="A180" s="2" t="s">
        <v>658</v>
      </c>
      <c r="B180" s="19">
        <v>45251</v>
      </c>
      <c r="C180" s="2" t="s">
        <v>24</v>
      </c>
      <c r="D180" s="2" t="s">
        <v>246</v>
      </c>
      <c r="E180" s="2" t="s">
        <v>131</v>
      </c>
      <c r="F180" s="2">
        <v>5</v>
      </c>
      <c r="G180" s="2">
        <v>0</v>
      </c>
      <c r="H180" t="str">
        <f>INDEX(Products!$B:$B,MATCH(Sales_Enriched!C180,Products!$A:$A,0))</f>
        <v>Amul Butter 500g</v>
      </c>
      <c r="I180" t="str">
        <f>INDEX(Products!$C:$C, MATCH(Sales_Enriched!C180,Products!$A:$A,0))</f>
        <v>Dairy</v>
      </c>
      <c r="J180" s="11">
        <f>INDEX(Products!$F:$F, MATCH(Sales_Enriched!C180,Products!$A:$A,0))</f>
        <v>275</v>
      </c>
      <c r="K180" t="str">
        <f>INDEX(Customers!$B:$B, MATCH(Sales_Enriched!D180,Customers!$A:$A,0))</f>
        <v>Arun Banerjee</v>
      </c>
      <c r="L180" t="str">
        <f>INDEX(Customers!$C:$C, MATCH(Sales_Enriched!D180,Customers!$A:$A,0))</f>
        <v>Kolkata</v>
      </c>
      <c r="M180" s="11">
        <f t="shared" si="10"/>
        <v>1375</v>
      </c>
      <c r="N180" s="11">
        <f t="shared" si="11"/>
        <v>0</v>
      </c>
      <c r="O180" s="11">
        <f t="shared" si="12"/>
        <v>1375</v>
      </c>
      <c r="P180">
        <f>HLOOKUP(TEXT(B180,"MMM"),'Monthly_Targets '!$A$1:$M$11, MATCH(Sales_Enriched!E180,'Monthly_Targets '!$A$1:$A$11,0),FALSE)</f>
        <v>1104000</v>
      </c>
      <c r="Q180" t="str">
        <f t="shared" si="13"/>
        <v>No Discount</v>
      </c>
      <c r="R180" t="str">
        <f t="shared" si="14"/>
        <v>Poor</v>
      </c>
    </row>
    <row r="181" spans="1:18" x14ac:dyDescent="0.3">
      <c r="A181" s="3" t="s">
        <v>660</v>
      </c>
      <c r="B181" s="20">
        <v>44950</v>
      </c>
      <c r="C181" s="3" t="s">
        <v>60</v>
      </c>
      <c r="D181" s="3" t="s">
        <v>188</v>
      </c>
      <c r="E181" s="3" t="s">
        <v>142</v>
      </c>
      <c r="F181" s="3">
        <v>6</v>
      </c>
      <c r="G181" s="3">
        <v>10</v>
      </c>
      <c r="H181" t="str">
        <f>INDEX(Products!$B:$B,MATCH(Sales_Enriched!C181,Products!$A:$A,0))</f>
        <v>Lakme Lipstick</v>
      </c>
      <c r="I181" t="str">
        <f>INDEX(Products!$C:$C, MATCH(Sales_Enriched!C181,Products!$A:$A,0))</f>
        <v>Beauty</v>
      </c>
      <c r="J181" s="11">
        <f>INDEX(Products!$F:$F, MATCH(Sales_Enriched!C181,Products!$A:$A,0))</f>
        <v>350</v>
      </c>
      <c r="K181" t="str">
        <f>INDEX(Customers!$B:$B, MATCH(Sales_Enriched!D181,Customers!$A:$A,0))</f>
        <v>Priya Singh</v>
      </c>
      <c r="L181" t="str">
        <f>INDEX(Customers!$C:$C, MATCH(Sales_Enriched!D181,Customers!$A:$A,0))</f>
        <v>Mumbai</v>
      </c>
      <c r="M181" s="11">
        <f t="shared" si="10"/>
        <v>2100</v>
      </c>
      <c r="N181" s="11">
        <f t="shared" si="11"/>
        <v>210</v>
      </c>
      <c r="O181" s="11">
        <f t="shared" si="12"/>
        <v>1890</v>
      </c>
      <c r="P181">
        <f>HLOOKUP(TEXT(B181,"MMM"),'Monthly_Targets '!$A$1:$M$11, MATCH(Sales_Enriched!E181,'Monthly_Targets '!$A$1:$A$11,0),FALSE)</f>
        <v>646000</v>
      </c>
      <c r="Q181" t="str">
        <f t="shared" si="13"/>
        <v>Low Discount</v>
      </c>
      <c r="R181" t="str">
        <f t="shared" si="14"/>
        <v>Poor</v>
      </c>
    </row>
    <row r="182" spans="1:18" x14ac:dyDescent="0.3">
      <c r="A182" s="2" t="s">
        <v>662</v>
      </c>
      <c r="B182" s="19">
        <v>45147</v>
      </c>
      <c r="C182" s="2" t="s">
        <v>30</v>
      </c>
      <c r="D182" s="2" t="s">
        <v>217</v>
      </c>
      <c r="E182" s="2" t="s">
        <v>163</v>
      </c>
      <c r="F182" s="2">
        <v>7</v>
      </c>
      <c r="G182" s="2">
        <v>0</v>
      </c>
      <c r="H182" t="str">
        <f>INDEX(Products!$B:$B,MATCH(Sales_Enriched!C182,Products!$A:$A,0))</f>
        <v>Amul Gold Milk 1L</v>
      </c>
      <c r="I182" t="str">
        <f>INDEX(Products!$C:$C, MATCH(Sales_Enriched!C182,Products!$A:$A,0))</f>
        <v>Dairy</v>
      </c>
      <c r="J182" s="11">
        <f>INDEX(Products!$F:$F, MATCH(Sales_Enriched!C182,Products!$A:$A,0))</f>
        <v>68</v>
      </c>
      <c r="K182" t="str">
        <f>INDEX(Customers!$B:$B, MATCH(Sales_Enriched!D182,Customers!$A:$A,0))</f>
        <v>Kavitha Kumar</v>
      </c>
      <c r="L182" t="str">
        <f>INDEX(Customers!$C:$C, MATCH(Sales_Enriched!D182,Customers!$A:$A,0))</f>
        <v>Chennai</v>
      </c>
      <c r="M182" s="11">
        <f t="shared" si="10"/>
        <v>476</v>
      </c>
      <c r="N182" s="11">
        <f t="shared" si="11"/>
        <v>0</v>
      </c>
      <c r="O182" s="11">
        <f t="shared" si="12"/>
        <v>476</v>
      </c>
      <c r="P182">
        <f>HLOOKUP(TEXT(B182,"MMM"),'Monthly_Targets '!$A$1:$M$11, MATCH(Sales_Enriched!E182,'Monthly_Targets '!$A$1:$A$11,0),FALSE)</f>
        <v>603500</v>
      </c>
      <c r="Q182" t="str">
        <f t="shared" si="13"/>
        <v>No Discount</v>
      </c>
      <c r="R182" t="str">
        <f t="shared" si="14"/>
        <v>Poor</v>
      </c>
    </row>
    <row r="183" spans="1:18" x14ac:dyDescent="0.3">
      <c r="A183" s="3" t="s">
        <v>664</v>
      </c>
      <c r="B183" s="20">
        <v>45014</v>
      </c>
      <c r="C183" s="3" t="s">
        <v>33</v>
      </c>
      <c r="D183" s="3" t="s">
        <v>195</v>
      </c>
      <c r="E183" s="3" t="s">
        <v>170</v>
      </c>
      <c r="F183" s="3">
        <v>7</v>
      </c>
      <c r="G183" s="3">
        <v>5</v>
      </c>
      <c r="H183" t="str">
        <f>INDEX(Products!$B:$B,MATCH(Sales_Enriched!C183,Products!$A:$A,0))</f>
        <v>Samsung 43 Smart TV</v>
      </c>
      <c r="I183" t="str">
        <f>INDEX(Products!$C:$C, MATCH(Sales_Enriched!C183,Products!$A:$A,0))</f>
        <v>Electronics</v>
      </c>
      <c r="J183" s="11">
        <f>INDEX(Products!$F:$F, MATCH(Sales_Enriched!C183,Products!$A:$A,0))</f>
        <v>32999</v>
      </c>
      <c r="K183" t="str">
        <f>INDEX(Customers!$B:$B, MATCH(Sales_Enriched!D183,Customers!$A:$A,0))</f>
        <v>Vikram Nair</v>
      </c>
      <c r="L183" t="str">
        <f>INDEX(Customers!$C:$C, MATCH(Sales_Enriched!D183,Customers!$A:$A,0))</f>
        <v>Bangalore</v>
      </c>
      <c r="M183" s="11">
        <f t="shared" si="10"/>
        <v>230993</v>
      </c>
      <c r="N183" s="11">
        <f t="shared" si="11"/>
        <v>11549.650000000001</v>
      </c>
      <c r="O183" s="11">
        <f t="shared" si="12"/>
        <v>219443.35</v>
      </c>
      <c r="P183">
        <f>HLOOKUP(TEXT(B183,"MMM"),'Monthly_Targets '!$A$1:$M$11, MATCH(Sales_Enriched!E183,'Monthly_Targets '!$A$1:$A$11,0),FALSE)</f>
        <v>370500</v>
      </c>
      <c r="Q183" t="str">
        <f t="shared" si="13"/>
        <v>Low Discount</v>
      </c>
      <c r="R183" t="str">
        <f t="shared" si="14"/>
        <v>Average</v>
      </c>
    </row>
    <row r="184" spans="1:18" x14ac:dyDescent="0.3">
      <c r="A184" s="2" t="s">
        <v>666</v>
      </c>
      <c r="B184" s="19">
        <v>45181</v>
      </c>
      <c r="C184" s="2" t="s">
        <v>101</v>
      </c>
      <c r="D184" s="2" t="s">
        <v>204</v>
      </c>
      <c r="E184" s="2" t="s">
        <v>138</v>
      </c>
      <c r="F184" s="2">
        <v>8</v>
      </c>
      <c r="G184" s="2">
        <v>5</v>
      </c>
      <c r="H184" t="str">
        <f>INDEX(Products!$B:$B,MATCH(Sales_Enriched!C184,Products!$A:$A,0))</f>
        <v>Colgate Toothpaste 200g</v>
      </c>
      <c r="I184" t="str">
        <f>INDEX(Products!$C:$C, MATCH(Sales_Enriched!C184,Products!$A:$A,0))</f>
        <v>Home Care</v>
      </c>
      <c r="J184" s="11">
        <f>INDEX(Products!$F:$F, MATCH(Sales_Enriched!C184,Products!$A:$A,0))</f>
        <v>95</v>
      </c>
      <c r="K184" t="str">
        <f>INDEX(Customers!$B:$B, MATCH(Sales_Enriched!D184,Customers!$A:$A,0))</f>
        <v>Rohan Gupta</v>
      </c>
      <c r="L184" t="str">
        <f>INDEX(Customers!$C:$C, MATCH(Sales_Enriched!D184,Customers!$A:$A,0))</f>
        <v>Delhi</v>
      </c>
      <c r="M184" s="11">
        <f t="shared" si="10"/>
        <v>760</v>
      </c>
      <c r="N184" s="11">
        <f t="shared" si="11"/>
        <v>38</v>
      </c>
      <c r="O184" s="11">
        <f t="shared" si="12"/>
        <v>722</v>
      </c>
      <c r="P184">
        <f>HLOOKUP(TEXT(B184,"MMM"),'Monthly_Targets '!$A$1:$M$11, MATCH(Sales_Enriched!E184,'Monthly_Targets '!$A$1:$A$11,0),FALSE)</f>
        <v>456000</v>
      </c>
      <c r="Q184" t="str">
        <f t="shared" si="13"/>
        <v>Low Discount</v>
      </c>
      <c r="R184" t="str">
        <f t="shared" si="14"/>
        <v>Poor</v>
      </c>
    </row>
    <row r="185" spans="1:18" x14ac:dyDescent="0.3">
      <c r="A185" s="3" t="s">
        <v>668</v>
      </c>
      <c r="B185" s="20">
        <v>45162</v>
      </c>
      <c r="C185" s="3" t="s">
        <v>49</v>
      </c>
      <c r="D185" s="26" t="s">
        <v>181</v>
      </c>
      <c r="E185" s="3" t="s">
        <v>159</v>
      </c>
      <c r="F185" s="3">
        <v>5</v>
      </c>
      <c r="G185" s="3">
        <v>20</v>
      </c>
      <c r="H185" t="str">
        <f>INDEX(Products!$B:$B,MATCH(Sales_Enriched!C185,Products!$A:$A,0))</f>
        <v>Surf Excel 1kg</v>
      </c>
      <c r="I185" t="str">
        <f>INDEX(Products!$C:$C, MATCH(Sales_Enriched!C185,Products!$A:$A,0))</f>
        <v>Home Care</v>
      </c>
      <c r="J185" s="11">
        <f>INDEX(Products!$F:$F, MATCH(Sales_Enriched!C185,Products!$A:$A,0))</f>
        <v>210</v>
      </c>
      <c r="K185" t="str">
        <f>INDEX(Customers!$B:$B, MATCH(Sales_Enriched!D185,Customers!$A:$A,0))</f>
        <v>Aarav Sharma</v>
      </c>
      <c r="L185" t="str">
        <f>INDEX(Customers!$C:$C, MATCH(Sales_Enriched!D185,Customers!$A:$A,0))</f>
        <v>Delhi</v>
      </c>
      <c r="M185" s="11">
        <f t="shared" si="10"/>
        <v>1050</v>
      </c>
      <c r="N185" s="11">
        <f t="shared" si="11"/>
        <v>210</v>
      </c>
      <c r="O185" s="11">
        <f t="shared" si="12"/>
        <v>840</v>
      </c>
      <c r="P185">
        <f>HLOOKUP(TEXT(B185,"MMM"),'Monthly_Targets '!$A$1:$M$11, MATCH(Sales_Enriched!E185,'Monthly_Targets '!$A$1:$A$11,0),FALSE)</f>
        <v>348500</v>
      </c>
      <c r="Q185" t="str">
        <f t="shared" si="13"/>
        <v>High Discount</v>
      </c>
      <c r="R185" t="str">
        <f t="shared" si="14"/>
        <v>Poor</v>
      </c>
    </row>
    <row r="186" spans="1:18" x14ac:dyDescent="0.3">
      <c r="A186" s="2" t="s">
        <v>670</v>
      </c>
      <c r="B186" s="19">
        <v>45007</v>
      </c>
      <c r="C186" s="2" t="s">
        <v>19</v>
      </c>
      <c r="D186" s="2" t="s">
        <v>246</v>
      </c>
      <c r="E186" s="2" t="s">
        <v>149</v>
      </c>
      <c r="F186" s="2">
        <v>10</v>
      </c>
      <c r="G186" s="2">
        <v>5</v>
      </c>
      <c r="H186" t="str">
        <f>INDEX(Products!$B:$B,MATCH(Sales_Enriched!C186,Products!$A:$A,0))</f>
        <v>Sunflower Oil 1L</v>
      </c>
      <c r="I186" t="str">
        <f>INDEX(Products!$C:$C, MATCH(Sales_Enriched!C186,Products!$A:$A,0))</f>
        <v>Grocery</v>
      </c>
      <c r="J186" s="11">
        <f>INDEX(Products!$F:$F, MATCH(Sales_Enriched!C186,Products!$A:$A,0))</f>
        <v>165</v>
      </c>
      <c r="K186" t="str">
        <f>INDEX(Customers!$B:$B, MATCH(Sales_Enriched!D186,Customers!$A:$A,0))</f>
        <v>Arun Banerjee</v>
      </c>
      <c r="L186" t="str">
        <f>INDEX(Customers!$C:$C, MATCH(Sales_Enriched!D186,Customers!$A:$A,0))</f>
        <v>Kolkata</v>
      </c>
      <c r="M186" s="11">
        <f t="shared" si="10"/>
        <v>1650</v>
      </c>
      <c r="N186" s="11">
        <f t="shared" si="11"/>
        <v>82.5</v>
      </c>
      <c r="O186" s="11">
        <f t="shared" si="12"/>
        <v>1567.5</v>
      </c>
      <c r="P186">
        <f>HLOOKUP(TEXT(B186,"MMM"),'Monthly_Targets '!$A$1:$M$11, MATCH(Sales_Enriched!E186,'Monthly_Targets '!$A$1:$A$11,0),FALSE)</f>
        <v>399000</v>
      </c>
      <c r="Q186" t="str">
        <f t="shared" si="13"/>
        <v>Low Discount</v>
      </c>
      <c r="R186" t="str">
        <f t="shared" si="14"/>
        <v>Poor</v>
      </c>
    </row>
    <row r="187" spans="1:18" x14ac:dyDescent="0.3">
      <c r="A187" s="3" t="s">
        <v>672</v>
      </c>
      <c r="B187" s="20">
        <v>45254</v>
      </c>
      <c r="C187" s="3" t="s">
        <v>75</v>
      </c>
      <c r="D187" s="3" t="s">
        <v>221</v>
      </c>
      <c r="E187" s="3" t="s">
        <v>159</v>
      </c>
      <c r="F187" s="3">
        <v>5</v>
      </c>
      <c r="G187" s="3">
        <v>5</v>
      </c>
      <c r="H187" t="str">
        <f>INDEX(Products!$B:$B,MATCH(Sales_Enriched!C187,Products!$A:$A,0))</f>
        <v>Nike T-Shirt</v>
      </c>
      <c r="I187" t="str">
        <f>INDEX(Products!$C:$C, MATCH(Sales_Enriched!C187,Products!$A:$A,0))</f>
        <v>Apparel</v>
      </c>
      <c r="J187" s="11">
        <f>INDEX(Products!$F:$F, MATCH(Sales_Enriched!C187,Products!$A:$A,0))</f>
        <v>1299</v>
      </c>
      <c r="K187" t="str">
        <f>INDEX(Customers!$B:$B, MATCH(Sales_Enriched!D187,Customers!$A:$A,0))</f>
        <v>Suresh Ghosh</v>
      </c>
      <c r="L187" t="str">
        <f>INDEX(Customers!$C:$C, MATCH(Sales_Enriched!D187,Customers!$A:$A,0))</f>
        <v>Kolkata</v>
      </c>
      <c r="M187" s="11">
        <f t="shared" si="10"/>
        <v>6495</v>
      </c>
      <c r="N187" s="11">
        <f t="shared" si="11"/>
        <v>324.75</v>
      </c>
      <c r="O187" s="11">
        <f t="shared" si="12"/>
        <v>6170.25</v>
      </c>
      <c r="P187">
        <f>HLOOKUP(TEXT(B187,"MMM"),'Monthly_Targets '!$A$1:$M$11, MATCH(Sales_Enriched!E187,'Monthly_Targets '!$A$1:$A$11,0),FALSE)</f>
        <v>492000</v>
      </c>
      <c r="Q187" t="str">
        <f t="shared" si="13"/>
        <v>Low Discount</v>
      </c>
      <c r="R187" t="str">
        <f t="shared" si="14"/>
        <v>Poor</v>
      </c>
    </row>
    <row r="188" spans="1:18" x14ac:dyDescent="0.3">
      <c r="A188" s="2" t="s">
        <v>673</v>
      </c>
      <c r="B188" s="19">
        <v>45123</v>
      </c>
      <c r="C188" s="2" t="s">
        <v>86</v>
      </c>
      <c r="D188" s="2" t="s">
        <v>199</v>
      </c>
      <c r="E188" s="2" t="s">
        <v>138</v>
      </c>
      <c r="F188" s="2">
        <v>7</v>
      </c>
      <c r="G188" s="2">
        <v>10</v>
      </c>
      <c r="H188" t="str">
        <f>INDEX(Products!$B:$B,MATCH(Sales_Enriched!C188,Products!$A:$A,0))</f>
        <v>Milton Steel Bottle 1L</v>
      </c>
      <c r="I188" t="str">
        <f>INDEX(Products!$C:$C, MATCH(Sales_Enriched!C188,Products!$A:$A,0))</f>
        <v>Kitchenware</v>
      </c>
      <c r="J188" s="11">
        <f>INDEX(Products!$F:$F, MATCH(Sales_Enriched!C188,Products!$A:$A,0))</f>
        <v>599</v>
      </c>
      <c r="K188" t="str">
        <f>INDEX(Customers!$B:$B, MATCH(Sales_Enriched!D188,Customers!$A:$A,0))</f>
        <v>Sunita Rao</v>
      </c>
      <c r="L188" t="str">
        <f>INDEX(Customers!$C:$C, MATCH(Sales_Enriched!D188,Customers!$A:$A,0))</f>
        <v>Chennai</v>
      </c>
      <c r="M188" s="11">
        <f t="shared" si="10"/>
        <v>4193</v>
      </c>
      <c r="N188" s="11">
        <f t="shared" si="11"/>
        <v>419.3</v>
      </c>
      <c r="O188" s="11">
        <f t="shared" si="12"/>
        <v>3773.7</v>
      </c>
      <c r="P188">
        <f>HLOOKUP(TEXT(B188,"MMM"),'Monthly_Targets '!$A$1:$M$11, MATCH(Sales_Enriched!E188,'Monthly_Targets '!$A$1:$A$11,0),FALSE)</f>
        <v>393600</v>
      </c>
      <c r="Q188" t="str">
        <f t="shared" si="13"/>
        <v>Low Discount</v>
      </c>
      <c r="R188" t="str">
        <f t="shared" si="14"/>
        <v>Poor</v>
      </c>
    </row>
    <row r="189" spans="1:18" x14ac:dyDescent="0.3">
      <c r="A189" s="3" t="s">
        <v>675</v>
      </c>
      <c r="B189" s="20">
        <v>45221</v>
      </c>
      <c r="C189" s="3" t="s">
        <v>55</v>
      </c>
      <c r="D189" s="3" t="s">
        <v>225</v>
      </c>
      <c r="E189" s="3" t="s">
        <v>119</v>
      </c>
      <c r="F189" s="3">
        <v>7</v>
      </c>
      <c r="G189" s="3">
        <v>5</v>
      </c>
      <c r="H189" t="str">
        <f>INDEX(Products!$B:$B,MATCH(Sales_Enriched!C189,Products!$A:$A,0))</f>
        <v>Dettol Handwash 250ml</v>
      </c>
      <c r="I189" t="str">
        <f>INDEX(Products!$C:$C, MATCH(Sales_Enriched!C189,Products!$A:$A,0))</f>
        <v>Home Care</v>
      </c>
      <c r="J189" s="11">
        <f>INDEX(Products!$F:$F, MATCH(Sales_Enriched!C189,Products!$A:$A,0))</f>
        <v>95</v>
      </c>
      <c r="K189" t="str">
        <f>INDEX(Customers!$B:$B, MATCH(Sales_Enriched!D189,Customers!$A:$A,0))</f>
        <v>Rupa Devi</v>
      </c>
      <c r="L189" t="str">
        <f>INDEX(Customers!$C:$C, MATCH(Sales_Enriched!D189,Customers!$A:$A,0))</f>
        <v>Kolkata</v>
      </c>
      <c r="M189" s="11">
        <f t="shared" si="10"/>
        <v>665</v>
      </c>
      <c r="N189" s="11">
        <f t="shared" si="11"/>
        <v>33.25</v>
      </c>
      <c r="O189" s="11">
        <f t="shared" si="12"/>
        <v>631.75</v>
      </c>
      <c r="P189">
        <f>HLOOKUP(TEXT(B189,"MMM"),'Monthly_Targets '!$A$1:$M$11, MATCH(Sales_Enriched!E189,'Monthly_Targets '!$A$1:$A$11,0),FALSE)</f>
        <v>935000</v>
      </c>
      <c r="Q189" t="str">
        <f t="shared" si="13"/>
        <v>Low Discount</v>
      </c>
      <c r="R189" t="str">
        <f t="shared" si="14"/>
        <v>Poor</v>
      </c>
    </row>
    <row r="190" spans="1:18" x14ac:dyDescent="0.3">
      <c r="A190" s="2" t="s">
        <v>677</v>
      </c>
      <c r="B190" s="19">
        <v>44931</v>
      </c>
      <c r="C190" s="2" t="s">
        <v>101</v>
      </c>
      <c r="D190" s="2" t="s">
        <v>188</v>
      </c>
      <c r="E190" s="2" t="s">
        <v>170</v>
      </c>
      <c r="F190" s="2">
        <v>8</v>
      </c>
      <c r="G190" s="2">
        <v>5</v>
      </c>
      <c r="H190" t="str">
        <f>INDEX(Products!$B:$B,MATCH(Sales_Enriched!C190,Products!$A:$A,0))</f>
        <v>Colgate Toothpaste 200g</v>
      </c>
      <c r="I190" t="str">
        <f>INDEX(Products!$C:$C, MATCH(Sales_Enriched!C190,Products!$A:$A,0))</f>
        <v>Home Care</v>
      </c>
      <c r="J190" s="11">
        <f>INDEX(Products!$F:$F, MATCH(Sales_Enriched!C190,Products!$A:$A,0))</f>
        <v>95</v>
      </c>
      <c r="K190" t="str">
        <f>INDEX(Customers!$B:$B, MATCH(Sales_Enriched!D190,Customers!$A:$A,0))</f>
        <v>Priya Singh</v>
      </c>
      <c r="L190" t="str">
        <f>INDEX(Customers!$C:$C, MATCH(Sales_Enriched!D190,Customers!$A:$A,0))</f>
        <v>Mumbai</v>
      </c>
      <c r="M190" s="11">
        <f t="shared" si="10"/>
        <v>760</v>
      </c>
      <c r="N190" s="11">
        <f t="shared" si="11"/>
        <v>38</v>
      </c>
      <c r="O190" s="11">
        <f t="shared" si="12"/>
        <v>722</v>
      </c>
      <c r="P190">
        <f>HLOOKUP(TEXT(B190,"MMM"),'Monthly_Targets '!$A$1:$M$11, MATCH(Sales_Enriched!E190,'Monthly_Targets '!$A$1:$A$11,0),FALSE)</f>
        <v>331500</v>
      </c>
      <c r="Q190" t="str">
        <f t="shared" si="13"/>
        <v>Low Discount</v>
      </c>
      <c r="R190" t="str">
        <f t="shared" si="14"/>
        <v>Poor</v>
      </c>
    </row>
    <row r="191" spans="1:18" x14ac:dyDescent="0.3">
      <c r="A191" s="3" t="s">
        <v>678</v>
      </c>
      <c r="B191" s="20">
        <v>45044</v>
      </c>
      <c r="C191" s="3" t="s">
        <v>106</v>
      </c>
      <c r="D191" s="3" t="s">
        <v>234</v>
      </c>
      <c r="E191" s="3" t="s">
        <v>138</v>
      </c>
      <c r="F191" s="3">
        <v>4</v>
      </c>
      <c r="G191" s="3">
        <v>5</v>
      </c>
      <c r="H191" t="str">
        <f>INDEX(Products!$B:$B,MATCH(Sales_Enriched!C191,Products!$A:$A,0))</f>
        <v>Woodland Shoes</v>
      </c>
      <c r="I191" t="str">
        <f>INDEX(Products!$C:$C, MATCH(Sales_Enriched!C191,Products!$A:$A,0))</f>
        <v>Apparel</v>
      </c>
      <c r="J191" s="11">
        <f>INDEX(Products!$F:$F, MATCH(Sales_Enriched!C191,Products!$A:$A,0))</f>
        <v>3499</v>
      </c>
      <c r="K191" t="str">
        <f>INDEX(Customers!$B:$B, MATCH(Sales_Enriched!D191,Customers!$A:$A,0))</f>
        <v>Anita Kapoor</v>
      </c>
      <c r="L191" t="str">
        <f>INDEX(Customers!$C:$C, MATCH(Sales_Enriched!D191,Customers!$A:$A,0))</f>
        <v>Mumbai</v>
      </c>
      <c r="M191" s="11">
        <f t="shared" si="10"/>
        <v>13996</v>
      </c>
      <c r="N191" s="11">
        <f t="shared" si="11"/>
        <v>699.80000000000007</v>
      </c>
      <c r="O191" s="11">
        <f t="shared" si="12"/>
        <v>13296.2</v>
      </c>
      <c r="P191">
        <f>HLOOKUP(TEXT(B191,"MMM"),'Monthly_Targets '!$A$1:$M$11, MATCH(Sales_Enriched!E191,'Monthly_Targets '!$A$1:$A$11,0),FALSE)</f>
        <v>432000</v>
      </c>
      <c r="Q191" t="str">
        <f t="shared" si="13"/>
        <v>Low Discount</v>
      </c>
      <c r="R191" t="str">
        <f t="shared" si="14"/>
        <v>Poor</v>
      </c>
    </row>
    <row r="192" spans="1:18" x14ac:dyDescent="0.3">
      <c r="A192" s="2" t="s">
        <v>679</v>
      </c>
      <c r="B192" s="19">
        <v>45274</v>
      </c>
      <c r="C192" s="2" t="s">
        <v>30</v>
      </c>
      <c r="D192" s="2" t="s">
        <v>199</v>
      </c>
      <c r="E192" s="2" t="s">
        <v>119</v>
      </c>
      <c r="F192" s="2">
        <v>5</v>
      </c>
      <c r="G192" s="2">
        <v>15</v>
      </c>
      <c r="H192" t="str">
        <f>INDEX(Products!$B:$B,MATCH(Sales_Enriched!C192,Products!$A:$A,0))</f>
        <v>Amul Gold Milk 1L</v>
      </c>
      <c r="I192" t="str">
        <f>INDEX(Products!$C:$C, MATCH(Sales_Enriched!C192,Products!$A:$A,0))</f>
        <v>Dairy</v>
      </c>
      <c r="J192" s="11">
        <f>INDEX(Products!$F:$F, MATCH(Sales_Enriched!C192,Products!$A:$A,0))</f>
        <v>68</v>
      </c>
      <c r="K192" t="str">
        <f>INDEX(Customers!$B:$B, MATCH(Sales_Enriched!D192,Customers!$A:$A,0))</f>
        <v>Sunita Rao</v>
      </c>
      <c r="L192" t="str">
        <f>INDEX(Customers!$C:$C, MATCH(Sales_Enriched!D192,Customers!$A:$A,0))</f>
        <v>Chennai</v>
      </c>
      <c r="M192" s="11">
        <f t="shared" si="10"/>
        <v>340</v>
      </c>
      <c r="N192" s="11">
        <f t="shared" si="11"/>
        <v>51</v>
      </c>
      <c r="O192" s="11">
        <f t="shared" si="12"/>
        <v>289</v>
      </c>
      <c r="P192">
        <f>HLOOKUP(TEXT(B192,"MMM"),'Monthly_Targets '!$A$1:$M$11, MATCH(Sales_Enriched!E192,'Monthly_Targets '!$A$1:$A$11,0),FALSE)</f>
        <v>1105000</v>
      </c>
      <c r="Q192" t="str">
        <f t="shared" si="13"/>
        <v>High Discount</v>
      </c>
      <c r="R192" t="str">
        <f t="shared" si="14"/>
        <v>Poor</v>
      </c>
    </row>
    <row r="193" spans="1:18" x14ac:dyDescent="0.3">
      <c r="A193" s="3" t="s">
        <v>681</v>
      </c>
      <c r="B193" s="20">
        <v>44944</v>
      </c>
      <c r="C193" s="3" t="s">
        <v>101</v>
      </c>
      <c r="D193" s="3" t="s">
        <v>234</v>
      </c>
      <c r="E193" s="3" t="s">
        <v>131</v>
      </c>
      <c r="F193" s="3">
        <v>2</v>
      </c>
      <c r="G193" s="3">
        <v>5</v>
      </c>
      <c r="H193" t="str">
        <f>INDEX(Products!$B:$B,MATCH(Sales_Enriched!C193,Products!$A:$A,0))</f>
        <v>Colgate Toothpaste 200g</v>
      </c>
      <c r="I193" t="str">
        <f>INDEX(Products!$C:$C, MATCH(Sales_Enriched!C193,Products!$A:$A,0))</f>
        <v>Home Care</v>
      </c>
      <c r="J193" s="11">
        <f>INDEX(Products!$F:$F, MATCH(Sales_Enriched!C193,Products!$A:$A,0))</f>
        <v>95</v>
      </c>
      <c r="K193" t="str">
        <f>INDEX(Customers!$B:$B, MATCH(Sales_Enriched!D193,Customers!$A:$A,0))</f>
        <v>Anita Kapoor</v>
      </c>
      <c r="L193" t="str">
        <f>INDEX(Customers!$C:$C, MATCH(Sales_Enriched!D193,Customers!$A:$A,0))</f>
        <v>Mumbai</v>
      </c>
      <c r="M193" s="11">
        <f t="shared" si="10"/>
        <v>190</v>
      </c>
      <c r="N193" s="11">
        <f t="shared" si="11"/>
        <v>9.5</v>
      </c>
      <c r="O193" s="11">
        <f t="shared" si="12"/>
        <v>180.5</v>
      </c>
      <c r="P193">
        <f>HLOOKUP(TEXT(B193,"MMM"),'Monthly_Targets '!$A$1:$M$11, MATCH(Sales_Enriched!E193,'Monthly_Targets '!$A$1:$A$11,0),FALSE)</f>
        <v>782000</v>
      </c>
      <c r="Q193" t="str">
        <f t="shared" si="13"/>
        <v>Low Discount</v>
      </c>
      <c r="R193" t="str">
        <f t="shared" si="14"/>
        <v>Poor</v>
      </c>
    </row>
    <row r="194" spans="1:18" x14ac:dyDescent="0.3">
      <c r="A194" s="2" t="s">
        <v>683</v>
      </c>
      <c r="B194" s="19">
        <v>45094</v>
      </c>
      <c r="C194" s="2" t="s">
        <v>75</v>
      </c>
      <c r="D194" s="2" t="s">
        <v>208</v>
      </c>
      <c r="E194" s="2" t="s">
        <v>138</v>
      </c>
      <c r="F194" s="2">
        <v>3</v>
      </c>
      <c r="G194" s="2">
        <v>20</v>
      </c>
      <c r="H194" t="str">
        <f>INDEX(Products!$B:$B,MATCH(Sales_Enriched!C194,Products!$A:$A,0))</f>
        <v>Nike T-Shirt</v>
      </c>
      <c r="I194" t="str">
        <f>INDEX(Products!$C:$C, MATCH(Sales_Enriched!C194,Products!$A:$A,0))</f>
        <v>Apparel</v>
      </c>
      <c r="J194" s="11">
        <f>INDEX(Products!$F:$F, MATCH(Sales_Enriched!C194,Products!$A:$A,0))</f>
        <v>1299</v>
      </c>
      <c r="K194" t="str">
        <f>INDEX(Customers!$B:$B, MATCH(Sales_Enriched!D194,Customers!$A:$A,0))</f>
        <v>Deepa Menon</v>
      </c>
      <c r="L194" t="str">
        <f>INDEX(Customers!$C:$C, MATCH(Sales_Enriched!D194,Customers!$A:$A,0))</f>
        <v>Mumbai</v>
      </c>
      <c r="M194" s="11">
        <f t="shared" si="10"/>
        <v>3897</v>
      </c>
      <c r="N194" s="11">
        <f t="shared" si="11"/>
        <v>779.40000000000009</v>
      </c>
      <c r="O194" s="11">
        <f t="shared" si="12"/>
        <v>3117.6</v>
      </c>
      <c r="P194">
        <f>HLOOKUP(TEXT(B194,"MMM"),'Monthly_Targets '!$A$1:$M$11, MATCH(Sales_Enriched!E194,'Monthly_Targets '!$A$1:$A$11,0),FALSE)</f>
        <v>422400</v>
      </c>
      <c r="Q194" t="str">
        <f t="shared" si="13"/>
        <v>High Discount</v>
      </c>
      <c r="R194" t="str">
        <f t="shared" si="14"/>
        <v>Poor</v>
      </c>
    </row>
    <row r="195" spans="1:18" x14ac:dyDescent="0.3">
      <c r="A195" s="3" t="s">
        <v>685</v>
      </c>
      <c r="B195" s="20">
        <v>45114</v>
      </c>
      <c r="C195" s="3" t="s">
        <v>91</v>
      </c>
      <c r="D195" s="3" t="s">
        <v>254</v>
      </c>
      <c r="E195" s="3" t="s">
        <v>142</v>
      </c>
      <c r="F195" s="3">
        <v>3</v>
      </c>
      <c r="G195" s="3">
        <v>5</v>
      </c>
      <c r="H195" t="str">
        <f>INDEX(Products!$B:$B,MATCH(Sales_Enriched!C195,Products!$A:$A,0))</f>
        <v>Parle-G Biscuits 1kg</v>
      </c>
      <c r="I195" t="str">
        <f>INDEX(Products!$C:$C, MATCH(Sales_Enriched!C195,Products!$A:$A,0))</f>
        <v>Grocery</v>
      </c>
      <c r="J195" s="11">
        <f>INDEX(Products!$F:$F, MATCH(Sales_Enriched!C195,Products!$A:$A,0))</f>
        <v>95</v>
      </c>
      <c r="K195" t="str">
        <f>INDEX(Customers!$B:$B, MATCH(Sales_Enriched!D195,Customers!$A:$A,0))</f>
        <v>Dinesh Yadav</v>
      </c>
      <c r="L195" t="str">
        <f>INDEX(Customers!$C:$C, MATCH(Sales_Enriched!D195,Customers!$A:$A,0))</f>
        <v>Delhi</v>
      </c>
      <c r="M195" s="11">
        <f t="shared" ref="M195:M201" si="15">J195*F195</f>
        <v>285</v>
      </c>
      <c r="N195" s="11">
        <f t="shared" ref="N195:N201" si="16">M195*(G195/100)</f>
        <v>14.25</v>
      </c>
      <c r="O195" s="11">
        <f t="shared" ref="O195:O201" si="17">M195-N195</f>
        <v>270.75</v>
      </c>
      <c r="P195">
        <f>HLOOKUP(TEXT(B195,"MMM"),'Monthly_Targets '!$A$1:$M$11, MATCH(Sales_Enriched!E195,'Monthly_Targets '!$A$1:$A$11,0),FALSE)</f>
        <v>623200</v>
      </c>
      <c r="Q195" t="str">
        <f t="shared" ref="Q195:Q201" si="18">IF(G195=0, "No Discount",IF(G195&lt;= 10, "Low Discount", "High Discount"))</f>
        <v>Low Discount</v>
      </c>
      <c r="R195" t="str">
        <f t="shared" ref="R195:R201" si="19">IF(O195&gt;=P195*0.9, "Excellent", IF(O195&gt;=P195*0.7, "Good", IF(O195&gt;=P195*0.5, "Average", "Poor")))</f>
        <v>Poor</v>
      </c>
    </row>
    <row r="196" spans="1:18" x14ac:dyDescent="0.3">
      <c r="A196" s="2" t="s">
        <v>687</v>
      </c>
      <c r="B196" s="19">
        <v>45173</v>
      </c>
      <c r="C196" s="2" t="s">
        <v>55</v>
      </c>
      <c r="D196" s="2" t="s">
        <v>230</v>
      </c>
      <c r="E196" s="2" t="s">
        <v>126</v>
      </c>
      <c r="F196" s="2">
        <v>8</v>
      </c>
      <c r="G196" s="2">
        <v>0</v>
      </c>
      <c r="H196" t="str">
        <f>INDEX(Products!$B:$B,MATCH(Sales_Enriched!C196,Products!$A:$A,0))</f>
        <v>Dettol Handwash 250ml</v>
      </c>
      <c r="I196" t="str">
        <f>INDEX(Products!$C:$C, MATCH(Sales_Enriched!C196,Products!$A:$A,0))</f>
        <v>Home Care</v>
      </c>
      <c r="J196" s="11">
        <f>INDEX(Products!$F:$F, MATCH(Sales_Enriched!C196,Products!$A:$A,0))</f>
        <v>95</v>
      </c>
      <c r="K196" t="str">
        <f>INDEX(Customers!$B:$B, MATCH(Sales_Enriched!D196,Customers!$A:$A,0))</f>
        <v>Manish Joshi</v>
      </c>
      <c r="L196" t="str">
        <f>INDEX(Customers!$C:$C, MATCH(Sales_Enriched!D196,Customers!$A:$A,0))</f>
        <v>Delhi</v>
      </c>
      <c r="M196" s="11">
        <f t="shared" si="15"/>
        <v>760</v>
      </c>
      <c r="N196" s="11">
        <f t="shared" si="16"/>
        <v>0</v>
      </c>
      <c r="O196" s="11">
        <f t="shared" si="17"/>
        <v>760</v>
      </c>
      <c r="P196">
        <f>HLOOKUP(TEXT(B196,"MMM"),'Monthly_Targets '!$A$1:$M$11, MATCH(Sales_Enriched!E196,'Monthly_Targets '!$A$1:$A$11,0),FALSE)</f>
        <v>494000</v>
      </c>
      <c r="Q196" t="str">
        <f t="shared" si="18"/>
        <v>No Discount</v>
      </c>
      <c r="R196" t="str">
        <f t="shared" si="19"/>
        <v>Poor</v>
      </c>
    </row>
    <row r="197" spans="1:18" x14ac:dyDescent="0.3">
      <c r="A197" s="3" t="s">
        <v>689</v>
      </c>
      <c r="B197" s="20">
        <v>44999</v>
      </c>
      <c r="C197" s="3" t="s">
        <v>44</v>
      </c>
      <c r="D197" s="3" t="s">
        <v>238</v>
      </c>
      <c r="E197" s="3" t="s">
        <v>163</v>
      </c>
      <c r="F197" s="3">
        <v>6</v>
      </c>
      <c r="G197" s="3">
        <v>0</v>
      </c>
      <c r="H197" t="str">
        <f>INDEX(Products!$B:$B,MATCH(Sales_Enriched!C197,Products!$A:$A,0))</f>
        <v>Philips LED Bulb 9W</v>
      </c>
      <c r="I197" t="str">
        <f>INDEX(Products!$C:$C, MATCH(Sales_Enriched!C197,Products!$A:$A,0))</f>
        <v>Electronics</v>
      </c>
      <c r="J197" s="11">
        <f>INDEX(Products!$F:$F, MATCH(Sales_Enriched!C197,Products!$A:$A,0))</f>
        <v>129</v>
      </c>
      <c r="K197" t="str">
        <f>INDEX(Customers!$B:$B, MATCH(Sales_Enriched!D197,Customers!$A:$A,0))</f>
        <v>Sanjay Iyer</v>
      </c>
      <c r="L197" t="str">
        <f>INDEX(Customers!$C:$C, MATCH(Sales_Enriched!D197,Customers!$A:$A,0))</f>
        <v>Chennai</v>
      </c>
      <c r="M197" s="11">
        <f t="shared" si="15"/>
        <v>774</v>
      </c>
      <c r="N197" s="11">
        <f t="shared" si="16"/>
        <v>0</v>
      </c>
      <c r="O197" s="11">
        <f t="shared" si="17"/>
        <v>774</v>
      </c>
      <c r="P197">
        <f>HLOOKUP(TEXT(B197,"MMM"),'Monthly_Targets '!$A$1:$M$11, MATCH(Sales_Enriched!E197,'Monthly_Targets '!$A$1:$A$11,0),FALSE)</f>
        <v>674500</v>
      </c>
      <c r="Q197" t="str">
        <f t="shared" si="18"/>
        <v>No Discount</v>
      </c>
      <c r="R197" t="str">
        <f t="shared" si="19"/>
        <v>Poor</v>
      </c>
    </row>
    <row r="198" spans="1:18" x14ac:dyDescent="0.3">
      <c r="A198" s="2" t="s">
        <v>691</v>
      </c>
      <c r="B198" s="19">
        <v>45129</v>
      </c>
      <c r="C198" s="2" t="s">
        <v>8</v>
      </c>
      <c r="D198" s="2" t="s">
        <v>221</v>
      </c>
      <c r="E198" s="2" t="s">
        <v>163</v>
      </c>
      <c r="F198" s="2">
        <v>2</v>
      </c>
      <c r="G198" s="2">
        <v>15</v>
      </c>
      <c r="H198" t="str">
        <f>INDEX(Products!$B:$B,MATCH(Sales_Enriched!C198,Products!$A:$A,0))</f>
        <v>Basmati Rice 5kg</v>
      </c>
      <c r="I198" t="str">
        <f>INDEX(Products!$C:$C, MATCH(Sales_Enriched!C198,Products!$A:$A,0))</f>
        <v>Grocery</v>
      </c>
      <c r="J198" s="11">
        <f>INDEX(Products!$F:$F, MATCH(Sales_Enriched!C198,Products!$A:$A,0))</f>
        <v>320</v>
      </c>
      <c r="K198" t="str">
        <f>INDEX(Customers!$B:$B, MATCH(Sales_Enriched!D198,Customers!$A:$A,0))</f>
        <v>Suresh Ghosh</v>
      </c>
      <c r="L198" t="str">
        <f>INDEX(Customers!$C:$C, MATCH(Sales_Enriched!D198,Customers!$A:$A,0))</f>
        <v>Kolkata</v>
      </c>
      <c r="M198" s="11">
        <f t="shared" si="15"/>
        <v>640</v>
      </c>
      <c r="N198" s="11">
        <f t="shared" si="16"/>
        <v>96</v>
      </c>
      <c r="O198" s="11">
        <f t="shared" si="17"/>
        <v>544</v>
      </c>
      <c r="P198">
        <f>HLOOKUP(TEXT(B198,"MMM"),'Monthly_Targets '!$A$1:$M$11, MATCH(Sales_Enriched!E198,'Monthly_Targets '!$A$1:$A$11,0),FALSE)</f>
        <v>582100</v>
      </c>
      <c r="Q198" t="str">
        <f t="shared" si="18"/>
        <v>High Discount</v>
      </c>
      <c r="R198" t="str">
        <f t="shared" si="19"/>
        <v>Poor</v>
      </c>
    </row>
    <row r="199" spans="1:18" x14ac:dyDescent="0.3">
      <c r="A199" s="3" t="s">
        <v>692</v>
      </c>
      <c r="B199" s="20">
        <v>45115</v>
      </c>
      <c r="C199" s="3" t="s">
        <v>49</v>
      </c>
      <c r="D199" s="3" t="s">
        <v>262</v>
      </c>
      <c r="E199" s="3" t="s">
        <v>153</v>
      </c>
      <c r="F199" s="3">
        <v>6</v>
      </c>
      <c r="G199" s="3">
        <v>0</v>
      </c>
      <c r="H199" t="str">
        <f>INDEX(Products!$B:$B,MATCH(Sales_Enriched!C199,Products!$A:$A,0))</f>
        <v>Surf Excel 1kg</v>
      </c>
      <c r="I199" t="str">
        <f>INDEX(Products!$C:$C, MATCH(Sales_Enriched!C199,Products!$A:$A,0))</f>
        <v>Home Care</v>
      </c>
      <c r="J199" s="11">
        <f>INDEX(Products!$F:$F, MATCH(Sales_Enriched!C199,Products!$A:$A,0))</f>
        <v>210</v>
      </c>
      <c r="K199" t="str">
        <f>INDEX(Customers!$B:$B, MATCH(Sales_Enriched!D199,Customers!$A:$A,0))</f>
        <v>Kiran Reddy</v>
      </c>
      <c r="L199" t="str">
        <f>INDEX(Customers!$C:$C, MATCH(Sales_Enriched!D199,Customers!$A:$A,0))</f>
        <v>Mumbai</v>
      </c>
      <c r="M199" s="11">
        <f t="shared" si="15"/>
        <v>1260</v>
      </c>
      <c r="N199" s="11">
        <f t="shared" si="16"/>
        <v>0</v>
      </c>
      <c r="O199" s="11">
        <f t="shared" si="17"/>
        <v>1260</v>
      </c>
      <c r="P199">
        <f>HLOOKUP(TEXT(B199,"MMM"),'Monthly_Targets '!$A$1:$M$11, MATCH(Sales_Enriched!E199,'Monthly_Targets '!$A$1:$A$11,0),FALSE)</f>
        <v>557600</v>
      </c>
      <c r="Q199" t="str">
        <f t="shared" si="18"/>
        <v>No Discount</v>
      </c>
      <c r="R199" t="str">
        <f t="shared" si="19"/>
        <v>Poor</v>
      </c>
    </row>
    <row r="200" spans="1:18" x14ac:dyDescent="0.3">
      <c r="A200" s="2" t="s">
        <v>693</v>
      </c>
      <c r="B200" s="19">
        <v>45272</v>
      </c>
      <c r="C200" s="2" t="s">
        <v>44</v>
      </c>
      <c r="D200" s="2" t="s">
        <v>250</v>
      </c>
      <c r="E200" s="2" t="s">
        <v>119</v>
      </c>
      <c r="F200" s="2">
        <v>10</v>
      </c>
      <c r="G200" s="2">
        <v>20</v>
      </c>
      <c r="H200" t="str">
        <f>INDEX(Products!$B:$B,MATCH(Sales_Enriched!C200,Products!$A:$A,0))</f>
        <v>Philips LED Bulb 9W</v>
      </c>
      <c r="I200" t="str">
        <f>INDEX(Products!$C:$C, MATCH(Sales_Enriched!C200,Products!$A:$A,0))</f>
        <v>Electronics</v>
      </c>
      <c r="J200" s="11">
        <f>INDEX(Products!$F:$F, MATCH(Sales_Enriched!C200,Products!$A:$A,0))</f>
        <v>129</v>
      </c>
      <c r="K200" t="str">
        <f>INDEX(Customers!$B:$B, MATCH(Sales_Enriched!D200,Customers!$A:$A,0))</f>
        <v>Rekha Pillai</v>
      </c>
      <c r="L200" t="str">
        <f>INDEX(Customers!$C:$C, MATCH(Sales_Enriched!D200,Customers!$A:$A,0))</f>
        <v>Chennai</v>
      </c>
      <c r="M200" s="11">
        <f t="shared" si="15"/>
        <v>1290</v>
      </c>
      <c r="N200" s="11">
        <f t="shared" si="16"/>
        <v>258</v>
      </c>
      <c r="O200" s="11">
        <f t="shared" si="17"/>
        <v>1032</v>
      </c>
      <c r="P200">
        <f>HLOOKUP(TEXT(B200,"MMM"),'Monthly_Targets '!$A$1:$M$11, MATCH(Sales_Enriched!E200,'Monthly_Targets '!$A$1:$A$11,0),FALSE)</f>
        <v>1105000</v>
      </c>
      <c r="Q200" t="str">
        <f t="shared" si="18"/>
        <v>High Discount</v>
      </c>
      <c r="R200" t="str">
        <f t="shared" si="19"/>
        <v>Poor</v>
      </c>
    </row>
    <row r="201" spans="1:18" x14ac:dyDescent="0.3">
      <c r="A201" s="3" t="s">
        <v>695</v>
      </c>
      <c r="B201" s="20">
        <v>45094</v>
      </c>
      <c r="C201" s="3" t="s">
        <v>106</v>
      </c>
      <c r="D201" s="3" t="s">
        <v>217</v>
      </c>
      <c r="E201" s="3" t="s">
        <v>126</v>
      </c>
      <c r="F201" s="3">
        <v>8</v>
      </c>
      <c r="G201" s="3">
        <v>5</v>
      </c>
      <c r="H201" t="str">
        <f>INDEX(Products!$B:$B,MATCH(Sales_Enriched!C201,Products!$A:$A,0))</f>
        <v>Woodland Shoes</v>
      </c>
      <c r="I201" t="str">
        <f>INDEX(Products!$C:$C, MATCH(Sales_Enriched!C201,Products!$A:$A,0))</f>
        <v>Apparel</v>
      </c>
      <c r="J201" s="11">
        <f>INDEX(Products!$F:$F, MATCH(Sales_Enriched!C201,Products!$A:$A,0))</f>
        <v>3499</v>
      </c>
      <c r="K201" t="str">
        <f>INDEX(Customers!$B:$B, MATCH(Sales_Enriched!D201,Customers!$A:$A,0))</f>
        <v>Kavitha Kumar</v>
      </c>
      <c r="L201" t="str">
        <f>INDEX(Customers!$C:$C, MATCH(Sales_Enriched!D201,Customers!$A:$A,0))</f>
        <v>Chennai</v>
      </c>
      <c r="M201" s="11">
        <f t="shared" si="15"/>
        <v>27992</v>
      </c>
      <c r="N201" s="11">
        <f t="shared" si="16"/>
        <v>1399.6000000000001</v>
      </c>
      <c r="O201" s="11">
        <f t="shared" si="17"/>
        <v>26592.400000000001</v>
      </c>
      <c r="P201">
        <f>HLOOKUP(TEXT(B201,"MMM"),'Monthly_Targets '!$A$1:$M$11, MATCH(Sales_Enriched!E201,'Monthly_Targets '!$A$1:$A$11,0),FALSE)</f>
        <v>457600</v>
      </c>
      <c r="Q201" t="str">
        <f t="shared" si="18"/>
        <v>Low Discount</v>
      </c>
      <c r="R201" t="str">
        <f t="shared" si="19"/>
        <v>Poor</v>
      </c>
    </row>
  </sheetData>
  <conditionalFormatting sqref="O1:O1048576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R1:R1048576">
    <cfRule type="colorScale" priority="6">
      <colorScale>
        <cfvo type="min"/>
        <cfvo type="max"/>
        <color rgb="FFFF7128"/>
        <color rgb="FFFFEF9C"/>
      </colorScale>
    </cfRule>
    <cfRule type="cellIs" dxfId="4" priority="4" operator="equal">
      <formula>"Excellent"</formula>
    </cfRule>
    <cfRule type="cellIs" dxfId="3" priority="3" operator="equal">
      <formula>"Good"</formula>
    </cfRule>
    <cfRule type="cellIs" dxfId="2" priority="2" operator="equal">
      <formula>"Average"</formula>
    </cfRule>
    <cfRule type="cellIs" dxfId="1" priority="1" operator="equal">
      <formula>"Poor"</formula>
    </cfRule>
  </conditionalFormatting>
  <conditionalFormatting sqref="R2:R201">
    <cfRule type="cellIs" dxfId="0" priority="5" operator="equal">
      <formula>"Excellent"</formula>
    </cfRule>
  </conditionalFormatting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3B62C-BD46-42A3-AAE2-7066ABE7CCC5}">
  <sheetPr codeName="Sheet7"/>
  <dimension ref="A1:P11"/>
  <sheetViews>
    <sheetView workbookViewId="0"/>
  </sheetViews>
  <sheetFormatPr defaultRowHeight="14.4" x14ac:dyDescent="0.3"/>
  <cols>
    <col min="3" max="4" width="8.109375" bestFit="1" customWidth="1"/>
  </cols>
  <sheetData>
    <row r="1" spans="1:16" x14ac:dyDescent="0.3">
      <c r="A1" s="13" t="s">
        <v>699</v>
      </c>
      <c r="B1" s="13" t="s">
        <v>700</v>
      </c>
      <c r="C1" s="13" t="s">
        <v>701</v>
      </c>
      <c r="D1" s="13" t="s">
        <v>702</v>
      </c>
      <c r="E1" s="13" t="s">
        <v>703</v>
      </c>
      <c r="F1" s="13" t="s">
        <v>704</v>
      </c>
      <c r="G1" s="13" t="s">
        <v>705</v>
      </c>
      <c r="H1" s="13" t="s">
        <v>706</v>
      </c>
      <c r="I1" s="13" t="s">
        <v>707</v>
      </c>
      <c r="J1" s="13" t="s">
        <v>708</v>
      </c>
      <c r="K1" s="13" t="s">
        <v>709</v>
      </c>
      <c r="L1" s="13" t="s">
        <v>710</v>
      </c>
      <c r="M1" s="13" t="s">
        <v>711</v>
      </c>
      <c r="P1">
        <f>HLOOKUP($D$1,$A$1:$M$11,2,FALSE)</f>
        <v>807500</v>
      </c>
    </row>
    <row r="2" spans="1:16" x14ac:dyDescent="0.3">
      <c r="A2" s="14" t="s">
        <v>119</v>
      </c>
      <c r="B2" s="15">
        <v>722500</v>
      </c>
      <c r="C2" s="15">
        <v>748000</v>
      </c>
      <c r="D2" s="15">
        <v>807500</v>
      </c>
      <c r="E2" s="15">
        <v>765000</v>
      </c>
      <c r="F2" s="15">
        <v>782000</v>
      </c>
      <c r="G2" s="15">
        <v>748000</v>
      </c>
      <c r="H2" s="15">
        <v>697000</v>
      </c>
      <c r="I2" s="15">
        <v>722500</v>
      </c>
      <c r="J2" s="15">
        <v>807500</v>
      </c>
      <c r="K2" s="15">
        <v>935000</v>
      </c>
      <c r="L2" s="15">
        <v>1020000</v>
      </c>
      <c r="M2" s="15">
        <v>1105000</v>
      </c>
      <c r="P2">
        <f>HLOOKUP($D$1,$A$1:$M$11,3,FALSE)</f>
        <v>494000</v>
      </c>
    </row>
    <row r="3" spans="1:16" x14ac:dyDescent="0.3">
      <c r="A3" s="16" t="s">
        <v>126</v>
      </c>
      <c r="B3" s="17">
        <v>442000</v>
      </c>
      <c r="C3" s="17">
        <v>457600</v>
      </c>
      <c r="D3" s="17">
        <v>494000</v>
      </c>
      <c r="E3" s="17">
        <v>468000</v>
      </c>
      <c r="F3" s="17">
        <v>478400</v>
      </c>
      <c r="G3" s="17">
        <v>457600</v>
      </c>
      <c r="H3" s="17">
        <v>426400</v>
      </c>
      <c r="I3" s="17">
        <v>442000</v>
      </c>
      <c r="J3" s="17">
        <v>494000</v>
      </c>
      <c r="K3" s="17">
        <v>572000</v>
      </c>
      <c r="L3" s="17">
        <v>624000</v>
      </c>
      <c r="M3" s="17">
        <v>676000</v>
      </c>
      <c r="P3">
        <f>HLOOKUP($D$1,$A$1:$M$11,4,FALSE)</f>
        <v>874000</v>
      </c>
    </row>
    <row r="4" spans="1:16" x14ac:dyDescent="0.3">
      <c r="A4" s="14" t="s">
        <v>131</v>
      </c>
      <c r="B4" s="15">
        <v>782000</v>
      </c>
      <c r="C4" s="15">
        <v>809600</v>
      </c>
      <c r="D4" s="15">
        <v>874000</v>
      </c>
      <c r="E4" s="15">
        <v>828000</v>
      </c>
      <c r="F4" s="15">
        <v>846400</v>
      </c>
      <c r="G4" s="15">
        <v>809600</v>
      </c>
      <c r="H4" s="15">
        <v>754400</v>
      </c>
      <c r="I4" s="15">
        <v>782000</v>
      </c>
      <c r="J4" s="15">
        <v>874000</v>
      </c>
      <c r="K4" s="15">
        <v>1012000</v>
      </c>
      <c r="L4" s="15">
        <v>1104000</v>
      </c>
      <c r="M4" s="15">
        <v>1196000</v>
      </c>
    </row>
    <row r="5" spans="1:16" x14ac:dyDescent="0.3">
      <c r="A5" s="16" t="s">
        <v>138</v>
      </c>
      <c r="B5" s="17">
        <v>408000</v>
      </c>
      <c r="C5" s="17">
        <v>422400</v>
      </c>
      <c r="D5" s="17">
        <v>456000</v>
      </c>
      <c r="E5" s="17">
        <v>432000</v>
      </c>
      <c r="F5" s="17">
        <v>441600</v>
      </c>
      <c r="G5" s="17">
        <v>422400</v>
      </c>
      <c r="H5" s="17">
        <v>393600</v>
      </c>
      <c r="I5" s="17">
        <v>408000</v>
      </c>
      <c r="J5" s="17">
        <v>456000</v>
      </c>
      <c r="K5" s="17">
        <v>528000</v>
      </c>
      <c r="L5" s="17">
        <v>576000</v>
      </c>
      <c r="M5" s="17">
        <v>624000</v>
      </c>
    </row>
    <row r="6" spans="1:16" x14ac:dyDescent="0.3">
      <c r="A6" s="14" t="s">
        <v>142</v>
      </c>
      <c r="B6" s="15">
        <v>646000</v>
      </c>
      <c r="C6" s="15">
        <v>668800</v>
      </c>
      <c r="D6" s="15">
        <v>722000</v>
      </c>
      <c r="E6" s="15">
        <v>684000</v>
      </c>
      <c r="F6" s="15">
        <v>699200</v>
      </c>
      <c r="G6" s="15">
        <v>668800</v>
      </c>
      <c r="H6" s="15">
        <v>623200</v>
      </c>
      <c r="I6" s="15">
        <v>646000</v>
      </c>
      <c r="J6" s="15">
        <v>722000</v>
      </c>
      <c r="K6" s="15">
        <v>836000</v>
      </c>
      <c r="L6" s="15">
        <v>912000</v>
      </c>
      <c r="M6" s="15">
        <v>988000</v>
      </c>
    </row>
    <row r="7" spans="1:16" x14ac:dyDescent="0.3">
      <c r="A7" s="16" t="s">
        <v>149</v>
      </c>
      <c r="B7" s="17">
        <v>357000</v>
      </c>
      <c r="C7" s="17">
        <v>369600</v>
      </c>
      <c r="D7" s="17">
        <v>399000</v>
      </c>
      <c r="E7" s="17">
        <v>378000</v>
      </c>
      <c r="F7" s="17">
        <v>386400</v>
      </c>
      <c r="G7" s="17">
        <v>369600</v>
      </c>
      <c r="H7" s="17">
        <v>344400</v>
      </c>
      <c r="I7" s="17">
        <v>357000</v>
      </c>
      <c r="J7" s="17">
        <v>399000</v>
      </c>
      <c r="K7" s="17">
        <v>462000</v>
      </c>
      <c r="L7" s="17">
        <v>504000</v>
      </c>
      <c r="M7" s="17">
        <v>546000</v>
      </c>
    </row>
    <row r="8" spans="1:16" x14ac:dyDescent="0.3">
      <c r="A8" s="14" t="s">
        <v>153</v>
      </c>
      <c r="B8" s="15">
        <v>578000</v>
      </c>
      <c r="C8" s="15">
        <v>598400</v>
      </c>
      <c r="D8" s="15">
        <v>646000</v>
      </c>
      <c r="E8" s="15">
        <v>612000</v>
      </c>
      <c r="F8" s="15">
        <v>625600</v>
      </c>
      <c r="G8" s="15">
        <v>598400</v>
      </c>
      <c r="H8" s="15">
        <v>557600</v>
      </c>
      <c r="I8" s="15">
        <v>578000</v>
      </c>
      <c r="J8" s="15">
        <v>646000</v>
      </c>
      <c r="K8" s="15">
        <v>748000</v>
      </c>
      <c r="L8" s="15">
        <v>816000</v>
      </c>
      <c r="M8" s="15">
        <v>884000</v>
      </c>
    </row>
    <row r="9" spans="1:16" x14ac:dyDescent="0.3">
      <c r="A9" s="16" t="s">
        <v>159</v>
      </c>
      <c r="B9" s="17">
        <v>348500</v>
      </c>
      <c r="C9" s="17">
        <v>360800</v>
      </c>
      <c r="D9" s="17">
        <v>389500</v>
      </c>
      <c r="E9" s="17">
        <v>369000</v>
      </c>
      <c r="F9" s="17">
        <v>377200</v>
      </c>
      <c r="G9" s="17">
        <v>360800</v>
      </c>
      <c r="H9" s="17">
        <v>336100</v>
      </c>
      <c r="I9" s="17">
        <v>348500</v>
      </c>
      <c r="J9" s="17">
        <v>389500</v>
      </c>
      <c r="K9" s="17">
        <v>451000</v>
      </c>
      <c r="L9" s="17">
        <v>492000</v>
      </c>
      <c r="M9" s="17">
        <v>533000</v>
      </c>
    </row>
    <row r="10" spans="1:16" x14ac:dyDescent="0.3">
      <c r="A10" s="14" t="s">
        <v>163</v>
      </c>
      <c r="B10" s="15">
        <v>603500</v>
      </c>
      <c r="C10" s="15">
        <v>624800</v>
      </c>
      <c r="D10" s="15">
        <v>674500</v>
      </c>
      <c r="E10" s="15">
        <v>639000</v>
      </c>
      <c r="F10" s="15">
        <v>653200</v>
      </c>
      <c r="G10" s="15">
        <v>624800</v>
      </c>
      <c r="H10" s="15">
        <v>582100</v>
      </c>
      <c r="I10" s="15">
        <v>603500</v>
      </c>
      <c r="J10" s="15">
        <v>674500</v>
      </c>
      <c r="K10" s="15">
        <v>781000</v>
      </c>
      <c r="L10" s="15">
        <v>852000</v>
      </c>
      <c r="M10" s="15">
        <v>923000</v>
      </c>
    </row>
    <row r="11" spans="1:16" x14ac:dyDescent="0.3">
      <c r="A11" s="16" t="s">
        <v>170</v>
      </c>
      <c r="B11" s="17">
        <v>331500</v>
      </c>
      <c r="C11" s="17">
        <v>343200</v>
      </c>
      <c r="D11" s="17">
        <v>370500</v>
      </c>
      <c r="E11" s="17">
        <v>351000</v>
      </c>
      <c r="F11" s="17">
        <v>358800</v>
      </c>
      <c r="G11" s="17">
        <v>343200</v>
      </c>
      <c r="H11" s="17">
        <v>319800</v>
      </c>
      <c r="I11" s="17">
        <v>331500</v>
      </c>
      <c r="J11" s="17">
        <v>370500</v>
      </c>
      <c r="K11" s="17">
        <v>429000</v>
      </c>
      <c r="L11" s="17">
        <v>468000</v>
      </c>
      <c r="M11" s="17">
        <v>507000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91909-138B-4577-A76D-F65CFFAA1B52}">
  <sheetPr codeName="Sheet8"/>
  <dimension ref="A1:I6"/>
  <sheetViews>
    <sheetView tabSelected="1" workbookViewId="0">
      <selection sqref="A1:F6"/>
    </sheetView>
  </sheetViews>
  <sheetFormatPr defaultRowHeight="14.4" x14ac:dyDescent="0.3"/>
  <cols>
    <col min="2" max="2" width="12.88671875" style="11" bestFit="1" customWidth="1"/>
    <col min="3" max="3" width="11.44140625" bestFit="1" customWidth="1"/>
    <col min="4" max="4" width="14.33203125" style="11" bestFit="1" customWidth="1"/>
    <col min="5" max="5" width="16" bestFit="1" customWidth="1"/>
    <col min="6" max="6" width="13.21875" style="11" bestFit="1" customWidth="1"/>
    <col min="8" max="8" width="11.6640625" bestFit="1" customWidth="1"/>
    <col min="9" max="9" width="13.5546875" bestFit="1" customWidth="1"/>
  </cols>
  <sheetData>
    <row r="1" spans="1:9" x14ac:dyDescent="0.3">
      <c r="A1" s="13" t="s">
        <v>112</v>
      </c>
      <c r="B1" s="23" t="s">
        <v>715</v>
      </c>
      <c r="C1" s="13" t="s">
        <v>716</v>
      </c>
      <c r="D1" s="23" t="s">
        <v>717</v>
      </c>
      <c r="E1" s="13" t="s">
        <v>718</v>
      </c>
      <c r="F1" s="23" t="s">
        <v>719</v>
      </c>
      <c r="H1" s="22" t="s">
        <v>720</v>
      </c>
      <c r="I1" s="22" t="s">
        <v>721</v>
      </c>
    </row>
    <row r="2" spans="1:9" x14ac:dyDescent="0.3">
      <c r="A2" t="s">
        <v>121</v>
      </c>
      <c r="B2" s="11">
        <f>SUMIF(Sales_Enriched!$L:$L, A2,Sales_Enriched!$O:$O)</f>
        <v>324920.85000000009</v>
      </c>
      <c r="C2">
        <f>COUNTIF(Sales_Enriched!$L:$L, A2)</f>
        <v>34</v>
      </c>
      <c r="D2" s="11">
        <f>AVERAGEIF(Sales_Enriched!$L:$L, A2, Sales_Enriched!$O:$O)</f>
        <v>9556.495588235297</v>
      </c>
      <c r="E2">
        <f>COUNTIFS(Sales_Enriched!$L:$L, A2,Sales_Enriched!$Q:$Q, "High value")</f>
        <v>0</v>
      </c>
      <c r="F2" s="11">
        <f>SUMIF(Sales_Enriched!$L:$L, A2, Sales_Enriched!$N:$N)</f>
        <v>58049.150000000009</v>
      </c>
      <c r="H2" t="s">
        <v>165</v>
      </c>
      <c r="I2">
        <f>_xlfn.XLOOKUP(H2,A2:A6,B2:B6,"City Not Found")</f>
        <v>656021.60000000009</v>
      </c>
    </row>
    <row r="3" spans="1:9" x14ac:dyDescent="0.3">
      <c r="A3" t="s">
        <v>133</v>
      </c>
      <c r="B3" s="11">
        <f>SUMIF(Sales_Enriched!$L:$L, A3,Sales_Enriched!$O:$O)</f>
        <v>88156.15</v>
      </c>
      <c r="C3">
        <f>COUNTIF(Sales_Enriched!$L:$L, A3)</f>
        <v>30</v>
      </c>
      <c r="D3" s="11">
        <f>AVERAGEIF(Sales_Enriched!$L:$L, A3, Sales_Enriched!$O:$O)</f>
        <v>2938.538333333333</v>
      </c>
      <c r="E3">
        <f>COUNTIFS(Sales_Enriched!$L:$L, A3,Sales_Enriched!$Q:$Q, "High value")</f>
        <v>0</v>
      </c>
      <c r="F3" s="11">
        <f>SUMIF(Sales_Enriched!$L:$L, A3, Sales_Enriched!$N:$N)</f>
        <v>12778.85</v>
      </c>
    </row>
    <row r="4" spans="1:9" x14ac:dyDescent="0.3">
      <c r="A4" t="s">
        <v>144</v>
      </c>
      <c r="B4" s="11">
        <f>SUMIF(Sales_Enriched!$L:$L, A4,Sales_Enriched!$O:$O)</f>
        <v>332156.75</v>
      </c>
      <c r="C4">
        <f>COUNTIF(Sales_Enriched!$L:$L, A4)</f>
        <v>44</v>
      </c>
      <c r="D4" s="11">
        <f>AVERAGEIF(Sales_Enriched!$L:$L, A4, Sales_Enriched!$O:$O)</f>
        <v>7549.017045454545</v>
      </c>
      <c r="E4">
        <f>COUNTIFS(Sales_Enriched!$L:$L, A4,Sales_Enriched!$Q:$Q, "High value")</f>
        <v>0</v>
      </c>
      <c r="F4" s="11">
        <f>SUMIF(Sales_Enriched!$L:$L, A4, Sales_Enriched!$N:$N)</f>
        <v>20073.250000000004</v>
      </c>
    </row>
    <row r="5" spans="1:9" x14ac:dyDescent="0.3">
      <c r="A5" t="s">
        <v>155</v>
      </c>
      <c r="B5" s="11">
        <f>SUMIF(Sales_Enriched!$L:$L, A5,Sales_Enriched!$O:$O)</f>
        <v>393003.25</v>
      </c>
      <c r="C5">
        <f>COUNTIF(Sales_Enriched!$L:$L, A5)</f>
        <v>38</v>
      </c>
      <c r="D5" s="11">
        <f>AVERAGEIF(Sales_Enriched!$L:$L, A5, Sales_Enriched!$O:$O)</f>
        <v>10342.190789473685</v>
      </c>
      <c r="E5">
        <f>COUNTIFS(Sales_Enriched!$L:$L, A5,Sales_Enriched!$Q:$Q, "High value")</f>
        <v>0</v>
      </c>
      <c r="F5" s="11">
        <f>SUMIF(Sales_Enriched!$L:$L, A5, Sales_Enriched!$N:$N)</f>
        <v>33931.750000000007</v>
      </c>
    </row>
    <row r="6" spans="1:9" x14ac:dyDescent="0.3">
      <c r="A6" t="s">
        <v>165</v>
      </c>
      <c r="B6" s="11">
        <f>SUMIF(Sales_Enriched!$L:$L, A6,Sales_Enriched!$O:$O)</f>
        <v>656021.60000000009</v>
      </c>
      <c r="C6">
        <f>COUNTIF(Sales_Enriched!$L:$L, A6)</f>
        <v>54</v>
      </c>
      <c r="D6" s="11">
        <f>AVERAGEIF(Sales_Enriched!$L:$L, A6, Sales_Enriched!$O:$O)</f>
        <v>12148.548148148149</v>
      </c>
      <c r="E6">
        <f>COUNTIFS(Sales_Enriched!$L:$L, A6,Sales_Enriched!$Q:$Q, "High value")</f>
        <v>0</v>
      </c>
      <c r="F6" s="11">
        <f>SUMIF(Sales_Enriched!$L:$L, A6, Sales_Enriched!$N:$N)</f>
        <v>49405.4</v>
      </c>
    </row>
  </sheetData>
  <conditionalFormatting sqref="B1:B104857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04857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F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01DA9-B32A-4056-9491-EAD7B79D4B60}">
  <sheetPr codeName="Sheet9"/>
  <dimension ref="A1:N66"/>
  <sheetViews>
    <sheetView workbookViewId="0">
      <selection activeCell="A4" sqref="A4"/>
    </sheetView>
  </sheetViews>
  <sheetFormatPr defaultRowHeight="14.4" x14ac:dyDescent="0.3"/>
  <cols>
    <col min="1" max="1" width="17.5546875" bestFit="1" customWidth="1"/>
    <col min="2" max="2" width="15.5546875" bestFit="1" customWidth="1"/>
    <col min="3" max="6" width="13.21875" bestFit="1" customWidth="1"/>
    <col min="7" max="7" width="14.77734375" bestFit="1" customWidth="1"/>
    <col min="8" max="10" width="13.21875" bestFit="1" customWidth="1"/>
    <col min="11" max="13" width="14.77734375" bestFit="1" customWidth="1"/>
    <col min="14" max="14" width="15.77734375" bestFit="1" customWidth="1"/>
    <col min="15" max="16" width="12.109375" bestFit="1" customWidth="1"/>
    <col min="17" max="19" width="13.21875" bestFit="1" customWidth="1"/>
    <col min="20" max="26" width="12.109375" bestFit="1" customWidth="1"/>
    <col min="27" max="28" width="13.21875" bestFit="1" customWidth="1"/>
    <col min="29" max="31" width="12.109375" bestFit="1" customWidth="1"/>
    <col min="32" max="32" width="13.21875" bestFit="1" customWidth="1"/>
    <col min="33" max="46" width="12.109375" bestFit="1" customWidth="1"/>
    <col min="47" max="47" width="13.21875" bestFit="1" customWidth="1"/>
    <col min="48" max="51" width="12.109375" bestFit="1" customWidth="1"/>
    <col min="52" max="52" width="13.21875" bestFit="1" customWidth="1"/>
    <col min="53" max="53" width="12.109375" bestFit="1" customWidth="1"/>
    <col min="54" max="54" width="13.21875" bestFit="1" customWidth="1"/>
    <col min="55" max="63" width="12.109375" bestFit="1" customWidth="1"/>
    <col min="64" max="64" width="13.21875" bestFit="1" customWidth="1"/>
    <col min="65" max="69" width="12.109375" bestFit="1" customWidth="1"/>
    <col min="70" max="71" width="13.21875" bestFit="1" customWidth="1"/>
    <col min="72" max="76" width="12.109375" bestFit="1" customWidth="1"/>
    <col min="77" max="77" width="13.21875" bestFit="1" customWidth="1"/>
    <col min="78" max="79" width="12.109375" bestFit="1" customWidth="1"/>
    <col min="80" max="80" width="13.21875" bestFit="1" customWidth="1"/>
    <col min="81" max="91" width="12.109375" bestFit="1" customWidth="1"/>
    <col min="92" max="92" width="13.21875" bestFit="1" customWidth="1"/>
    <col min="93" max="99" width="12.109375" bestFit="1" customWidth="1"/>
    <col min="100" max="100" width="13.21875" bestFit="1" customWidth="1"/>
    <col min="101" max="103" width="12.109375" bestFit="1" customWidth="1"/>
    <col min="104" max="104" width="13.21875" bestFit="1" customWidth="1"/>
    <col min="105" max="108" width="12.109375" bestFit="1" customWidth="1"/>
    <col min="109" max="109" width="13.21875" bestFit="1" customWidth="1"/>
    <col min="110" max="118" width="12.109375" bestFit="1" customWidth="1"/>
    <col min="119" max="119" width="13.21875" bestFit="1" customWidth="1"/>
    <col min="120" max="121" width="12.109375" bestFit="1" customWidth="1"/>
    <col min="122" max="123" width="13.21875" bestFit="1" customWidth="1"/>
    <col min="124" max="125" width="12.109375" bestFit="1" customWidth="1"/>
    <col min="126" max="126" width="13.21875" bestFit="1" customWidth="1"/>
    <col min="127" max="127" width="12.109375" bestFit="1" customWidth="1"/>
    <col min="128" max="128" width="13.21875" bestFit="1" customWidth="1"/>
    <col min="129" max="134" width="12.109375" bestFit="1" customWidth="1"/>
    <col min="135" max="135" width="13.21875" bestFit="1" customWidth="1"/>
    <col min="136" max="139" width="12.109375" bestFit="1" customWidth="1"/>
    <col min="140" max="142" width="13.21875" bestFit="1" customWidth="1"/>
    <col min="143" max="143" width="12.109375" bestFit="1" customWidth="1"/>
    <col min="144" max="145" width="13.21875" bestFit="1" customWidth="1"/>
    <col min="146" max="147" width="12.109375" bestFit="1" customWidth="1"/>
    <col min="148" max="149" width="13.21875" bestFit="1" customWidth="1"/>
    <col min="150" max="150" width="12.109375" bestFit="1" customWidth="1"/>
    <col min="151" max="154" width="13.21875" bestFit="1" customWidth="1"/>
    <col min="155" max="156" width="12.109375" bestFit="1" customWidth="1"/>
    <col min="157" max="158" width="13.21875" bestFit="1" customWidth="1"/>
    <col min="159" max="159" width="15.77734375" bestFit="1" customWidth="1"/>
  </cols>
  <sheetData>
    <row r="1" spans="1:14" x14ac:dyDescent="0.3">
      <c r="A1" s="24" t="s">
        <v>715</v>
      </c>
      <c r="B1" s="24" t="s">
        <v>724</v>
      </c>
    </row>
    <row r="2" spans="1:14" x14ac:dyDescent="0.3">
      <c r="A2" s="24" t="s">
        <v>112</v>
      </c>
      <c r="B2" t="s">
        <v>700</v>
      </c>
      <c r="C2" t="s">
        <v>701</v>
      </c>
      <c r="D2" t="s">
        <v>702</v>
      </c>
      <c r="E2" t="s">
        <v>703</v>
      </c>
      <c r="F2" t="s">
        <v>704</v>
      </c>
      <c r="G2" t="s">
        <v>705</v>
      </c>
      <c r="H2" t="s">
        <v>706</v>
      </c>
      <c r="I2" t="s">
        <v>707</v>
      </c>
      <c r="J2" t="s">
        <v>708</v>
      </c>
      <c r="K2" t="s">
        <v>709</v>
      </c>
      <c r="L2" t="s">
        <v>710</v>
      </c>
      <c r="M2" t="s">
        <v>711</v>
      </c>
      <c r="N2" t="s">
        <v>723</v>
      </c>
    </row>
    <row r="3" spans="1:14" x14ac:dyDescent="0.3">
      <c r="A3" s="25" t="s">
        <v>144</v>
      </c>
      <c r="B3" s="11">
        <v>2312000</v>
      </c>
      <c r="C3" s="11">
        <v>748000</v>
      </c>
      <c r="D3" s="11">
        <v>3477000</v>
      </c>
      <c r="E3" s="11">
        <v>765000</v>
      </c>
      <c r="F3" s="11">
        <v>699200</v>
      </c>
      <c r="G3" s="11">
        <v>3405600</v>
      </c>
      <c r="H3" s="11">
        <v>2402400</v>
      </c>
      <c r="I3" s="11">
        <v>2414000</v>
      </c>
      <c r="J3" s="11">
        <v>855000</v>
      </c>
      <c r="K3" s="11">
        <v>2134000</v>
      </c>
      <c r="L3" s="11">
        <v>1860000</v>
      </c>
      <c r="M3" s="11">
        <v>4238000</v>
      </c>
      <c r="N3" s="11">
        <v>25310200</v>
      </c>
    </row>
    <row r="4" spans="1:14" x14ac:dyDescent="0.3">
      <c r="A4" s="25" t="s">
        <v>121</v>
      </c>
      <c r="B4" s="11">
        <v>765000</v>
      </c>
      <c r="C4" s="11">
        <v>457600</v>
      </c>
      <c r="D4" s="11">
        <v>2185000</v>
      </c>
      <c r="E4" s="11">
        <v>1629000</v>
      </c>
      <c r="F4" s="11">
        <v>441600</v>
      </c>
      <c r="G4" s="11">
        <v>668800</v>
      </c>
      <c r="H4" s="11">
        <v>3025700</v>
      </c>
      <c r="I4" s="11">
        <v>1921000</v>
      </c>
      <c r="J4" s="11">
        <v>2118500</v>
      </c>
      <c r="K4" s="11">
        <v>1815000</v>
      </c>
      <c r="L4" s="11">
        <v>3636000</v>
      </c>
      <c r="M4" s="11">
        <v>988000</v>
      </c>
      <c r="N4" s="11">
        <v>19651200</v>
      </c>
    </row>
    <row r="5" spans="1:14" x14ac:dyDescent="0.3">
      <c r="A5" s="25" t="s">
        <v>155</v>
      </c>
      <c r="B5" s="11">
        <v>2057000</v>
      </c>
      <c r="C5" s="11">
        <v>2974400</v>
      </c>
      <c r="D5" s="11">
        <v>2603000</v>
      </c>
      <c r="E5" s="11">
        <v>1404000</v>
      </c>
      <c r="F5" s="11">
        <v>2594400</v>
      </c>
      <c r="G5" s="11">
        <v>2032800</v>
      </c>
      <c r="H5" s="11">
        <v>975700</v>
      </c>
      <c r="I5" s="11">
        <v>1249500</v>
      </c>
      <c r="J5" s="11"/>
      <c r="K5" s="11">
        <v>1452000</v>
      </c>
      <c r="L5" s="11">
        <v>2700000</v>
      </c>
      <c r="M5" s="11">
        <v>2210000</v>
      </c>
      <c r="N5" s="11">
        <v>22252800</v>
      </c>
    </row>
    <row r="6" spans="1:14" x14ac:dyDescent="0.3">
      <c r="A6" s="25" t="s">
        <v>165</v>
      </c>
      <c r="B6" s="11">
        <v>331500</v>
      </c>
      <c r="C6" s="11">
        <v>1214400</v>
      </c>
      <c r="D6" s="11">
        <v>3125500</v>
      </c>
      <c r="E6" s="11">
        <v>3735000</v>
      </c>
      <c r="F6" s="11">
        <v>3302800</v>
      </c>
      <c r="G6" s="11">
        <v>4197600</v>
      </c>
      <c r="H6" s="11">
        <v>2492600</v>
      </c>
      <c r="I6" s="11">
        <v>3332000</v>
      </c>
      <c r="J6" s="11">
        <v>1463000</v>
      </c>
      <c r="K6" s="11">
        <v>4664000</v>
      </c>
      <c r="L6" s="11">
        <v>2412000</v>
      </c>
      <c r="M6" s="11">
        <v>3055000</v>
      </c>
      <c r="N6" s="11">
        <v>33325400</v>
      </c>
    </row>
    <row r="7" spans="1:14" x14ac:dyDescent="0.3">
      <c r="A7" s="25" t="s">
        <v>133</v>
      </c>
      <c r="B7" s="11">
        <v>2091000</v>
      </c>
      <c r="C7" s="11">
        <v>2226400</v>
      </c>
      <c r="D7" s="11"/>
      <c r="E7" s="11">
        <v>2313000</v>
      </c>
      <c r="F7" s="11">
        <v>1030400</v>
      </c>
      <c r="G7" s="11">
        <v>1531200</v>
      </c>
      <c r="H7" s="11">
        <v>557600</v>
      </c>
      <c r="I7" s="11">
        <v>408000</v>
      </c>
      <c r="J7" s="11">
        <v>2023500</v>
      </c>
      <c r="K7" s="11">
        <v>1705000</v>
      </c>
      <c r="L7" s="11">
        <v>2100000</v>
      </c>
      <c r="M7" s="11">
        <v>2041000</v>
      </c>
      <c r="N7" s="11">
        <v>18027100</v>
      </c>
    </row>
    <row r="8" spans="1:14" x14ac:dyDescent="0.3">
      <c r="A8" s="25" t="s">
        <v>723</v>
      </c>
      <c r="B8" s="11">
        <v>7556500</v>
      </c>
      <c r="C8" s="11">
        <v>7620800</v>
      </c>
      <c r="D8" s="11">
        <v>11390500</v>
      </c>
      <c r="E8" s="11">
        <v>9846000</v>
      </c>
      <c r="F8" s="11">
        <v>8068400</v>
      </c>
      <c r="G8" s="11">
        <v>11836000</v>
      </c>
      <c r="H8" s="11">
        <v>9454000</v>
      </c>
      <c r="I8" s="11">
        <v>9324500</v>
      </c>
      <c r="J8" s="11">
        <v>6460000</v>
      </c>
      <c r="K8" s="11">
        <v>11770000</v>
      </c>
      <c r="L8" s="11">
        <v>12708000</v>
      </c>
      <c r="M8" s="11">
        <v>12532000</v>
      </c>
      <c r="N8" s="11">
        <v>118566700</v>
      </c>
    </row>
    <row r="27" spans="1:2" x14ac:dyDescent="0.3">
      <c r="A27" s="24" t="s">
        <v>1</v>
      </c>
      <c r="B27" t="s">
        <v>726</v>
      </c>
    </row>
    <row r="28" spans="1:2" x14ac:dyDescent="0.3">
      <c r="A28" s="25" t="s">
        <v>25</v>
      </c>
      <c r="B28" s="11">
        <v>13777.5</v>
      </c>
    </row>
    <row r="29" spans="1:2" x14ac:dyDescent="0.3">
      <c r="A29" s="25" t="s">
        <v>9</v>
      </c>
      <c r="B29" s="11">
        <v>15856</v>
      </c>
    </row>
    <row r="30" spans="1:2" x14ac:dyDescent="0.3">
      <c r="A30" s="25" t="s">
        <v>40</v>
      </c>
      <c r="B30" s="11">
        <v>73226.149999999994</v>
      </c>
    </row>
    <row r="31" spans="1:2" x14ac:dyDescent="0.3">
      <c r="A31" s="25" t="s">
        <v>61</v>
      </c>
      <c r="B31" s="11">
        <v>19390</v>
      </c>
    </row>
    <row r="32" spans="1:2" x14ac:dyDescent="0.3">
      <c r="A32" s="25" t="s">
        <v>70</v>
      </c>
      <c r="B32" s="11">
        <v>100584.74999999999</v>
      </c>
    </row>
    <row r="33" spans="1:2" x14ac:dyDescent="0.3">
      <c r="A33" s="25" t="s">
        <v>87</v>
      </c>
      <c r="B33" s="11">
        <v>39294.399999999994</v>
      </c>
    </row>
    <row r="34" spans="1:2" x14ac:dyDescent="0.3">
      <c r="A34" s="25" t="s">
        <v>76</v>
      </c>
      <c r="B34" s="11">
        <v>91579.5</v>
      </c>
    </row>
    <row r="35" spans="1:2" x14ac:dyDescent="0.3">
      <c r="A35" s="25" t="s">
        <v>81</v>
      </c>
      <c r="B35" s="11">
        <v>120250</v>
      </c>
    </row>
    <row r="36" spans="1:2" x14ac:dyDescent="0.3">
      <c r="A36" s="25" t="s">
        <v>34</v>
      </c>
      <c r="B36" s="11">
        <v>1092266.9000000001</v>
      </c>
    </row>
    <row r="37" spans="1:2" x14ac:dyDescent="0.3">
      <c r="A37" s="25" t="s">
        <v>107</v>
      </c>
      <c r="B37" s="11">
        <v>163228.35</v>
      </c>
    </row>
    <row r="38" spans="1:2" x14ac:dyDescent="0.3">
      <c r="A38" s="25" t="s">
        <v>723</v>
      </c>
      <c r="B38" s="11">
        <v>1729453.5500000003</v>
      </c>
    </row>
    <row r="57" spans="1:4" x14ac:dyDescent="0.3">
      <c r="A57" s="24" t="s">
        <v>725</v>
      </c>
      <c r="B57" s="24" t="s">
        <v>724</v>
      </c>
    </row>
    <row r="58" spans="1:4" x14ac:dyDescent="0.3">
      <c r="A58" s="24" t="s">
        <v>722</v>
      </c>
      <c r="B58" t="s">
        <v>727</v>
      </c>
      <c r="C58" t="s">
        <v>728</v>
      </c>
      <c r="D58" t="s">
        <v>723</v>
      </c>
    </row>
    <row r="59" spans="1:4" x14ac:dyDescent="0.3">
      <c r="A59" s="25" t="s">
        <v>71</v>
      </c>
      <c r="B59" s="11"/>
      <c r="C59" s="11">
        <v>355392.60000000003</v>
      </c>
      <c r="D59" s="11">
        <v>355392.60000000003</v>
      </c>
    </row>
    <row r="60" spans="1:4" x14ac:dyDescent="0.3">
      <c r="A60" s="25" t="s">
        <v>62</v>
      </c>
      <c r="B60" s="11"/>
      <c r="C60" s="11">
        <v>25429.8</v>
      </c>
      <c r="D60" s="11">
        <v>25429.8</v>
      </c>
    </row>
    <row r="61" spans="1:4" x14ac:dyDescent="0.3">
      <c r="A61" s="25" t="s">
        <v>26</v>
      </c>
      <c r="B61" s="11"/>
      <c r="C61" s="11">
        <v>17680.7</v>
      </c>
      <c r="D61" s="11">
        <v>17680.7</v>
      </c>
    </row>
    <row r="62" spans="1:4" x14ac:dyDescent="0.3">
      <c r="A62" s="25" t="s">
        <v>35</v>
      </c>
      <c r="B62" s="11">
        <v>219443.35</v>
      </c>
      <c r="C62" s="11">
        <v>954492.75000000012</v>
      </c>
      <c r="D62" s="11">
        <v>1173936.1000000001</v>
      </c>
    </row>
    <row r="63" spans="1:4" x14ac:dyDescent="0.3">
      <c r="A63" s="25" t="s">
        <v>10</v>
      </c>
      <c r="B63" s="11"/>
      <c r="C63" s="11">
        <v>39541.75</v>
      </c>
      <c r="D63" s="11">
        <v>39541.75</v>
      </c>
    </row>
    <row r="64" spans="1:4" x14ac:dyDescent="0.3">
      <c r="A64" s="25" t="s">
        <v>51</v>
      </c>
      <c r="B64" s="11"/>
      <c r="C64" s="11">
        <v>22733.25</v>
      </c>
      <c r="D64" s="11">
        <v>22733.25</v>
      </c>
    </row>
    <row r="65" spans="1:4" x14ac:dyDescent="0.3">
      <c r="A65" s="25" t="s">
        <v>82</v>
      </c>
      <c r="B65" s="11"/>
      <c r="C65" s="11">
        <v>159544.40000000002</v>
      </c>
      <c r="D65" s="11">
        <v>159544.40000000002</v>
      </c>
    </row>
    <row r="66" spans="1:4" x14ac:dyDescent="0.3">
      <c r="A66" s="25" t="s">
        <v>723</v>
      </c>
      <c r="B66" s="11">
        <v>219443.35</v>
      </c>
      <c r="C66" s="11">
        <v>1574815.25</v>
      </c>
      <c r="D66" s="11">
        <v>1794258.6</v>
      </c>
    </row>
  </sheetData>
  <pageMargins left="0.7" right="0.7" top="0.75" bottom="0.75" header="0.3" footer="0.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4C153-59FE-4473-A1E5-BA4DC660556C}">
  <sheetPr codeName="Sheet10"/>
  <dimension ref="A1:G2"/>
  <sheetViews>
    <sheetView topLeftCell="B1" workbookViewId="0">
      <selection activeCell="H21" sqref="H21"/>
    </sheetView>
  </sheetViews>
  <sheetFormatPr defaultRowHeight="14.4" x14ac:dyDescent="0.3"/>
  <cols>
    <col min="7" max="7" width="10.6640625" bestFit="1" customWidth="1"/>
  </cols>
  <sheetData>
    <row r="1" spans="1:7" x14ac:dyDescent="0.3">
      <c r="A1" t="s">
        <v>335</v>
      </c>
      <c r="B1" t="s">
        <v>336</v>
      </c>
      <c r="C1" t="s">
        <v>112</v>
      </c>
      <c r="D1" t="s">
        <v>2</v>
      </c>
      <c r="E1" t="s">
        <v>110</v>
      </c>
      <c r="F1" t="s">
        <v>337</v>
      </c>
      <c r="G1" t="s">
        <v>338</v>
      </c>
    </row>
    <row r="2" spans="1:7" x14ac:dyDescent="0.3">
      <c r="C2" t="s">
        <v>133</v>
      </c>
      <c r="F2">
        <v>5</v>
      </c>
    </row>
  </sheetData>
  <dataValidations count="5">
    <dataValidation type="list" allowBlank="1" showInputMessage="1" showErrorMessage="1" sqref="C2:C50" xr:uid="{8C76B464-760B-42DC-8573-E35C1C2DE1E9}">
      <formula1>"Delhi,Mumbai,Bangalore,Chennai,Kolkata"</formula1>
    </dataValidation>
    <dataValidation type="list" allowBlank="1" showInputMessage="1" showErrorMessage="1" sqref="D2:D50" xr:uid="{00164B5D-6DDF-469E-B9D9-9BD028EB2CA5}">
      <formula1>"Grocery,Dairy,Electronics,Home Care,Beauty,Apparel,Kitchenware"</formula1>
    </dataValidation>
    <dataValidation type="list" allowBlank="1" showInputMessage="1" showErrorMessage="1" sqref="E2:E50" xr:uid="{AB518D6D-DC83-4AB7-9870-1250AB8C37A9}">
      <formula1>"S01,S02,S03,S04,S05,S06,S07,S08,S09,S10"</formula1>
    </dataValidation>
    <dataValidation type="whole" allowBlank="1" showInputMessage="1" showErrorMessage="1" errorTitle=" Invalid Quantity" error="Quantity must be between 1 and 50" sqref="F2:F50" xr:uid="{F6F3F193-4EC4-464F-8ED1-D54C67E6CE10}">
      <formula1>1</formula1>
      <formula2>50</formula2>
    </dataValidation>
    <dataValidation type="list" allowBlank="1" showInputMessage="1" showErrorMessage="1" sqref="G2:G50" xr:uid="{2A34D6FD-C558-4ABA-B5B6-4B3A8DE5A234}">
      <formula1>" 0,5,10,15,20"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freshAllPivots">
                <anchor moveWithCells="1" sizeWithCells="1">
                  <from>
                    <xdr:col>8</xdr:col>
                    <xdr:colOff>114300</xdr:colOff>
                    <xdr:row>0</xdr:row>
                    <xdr:rowOff>68580</xdr:rowOff>
                  </from>
                  <to>
                    <xdr:col>10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HighlightSummary">
                <anchor moveWithCells="1" sizeWithCells="1">
                  <from>
                    <xdr:col>8</xdr:col>
                    <xdr:colOff>160020</xdr:colOff>
                    <xdr:row>6</xdr:row>
                    <xdr:rowOff>167640</xdr:rowOff>
                  </from>
                  <to>
                    <xdr:col>11</xdr:col>
                    <xdr:colOff>30480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ThisWorkbook.ExportSummaryPDF">
                <anchor moveWithCells="1" sizeWithCells="1">
                  <from>
                    <xdr:col>8</xdr:col>
                    <xdr:colOff>236220</xdr:colOff>
                    <xdr:row>12</xdr:row>
                    <xdr:rowOff>160020</xdr:rowOff>
                  </from>
                  <to>
                    <xdr:col>10</xdr:col>
                    <xdr:colOff>601980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Products</vt:lpstr>
      <vt:lpstr>Stores</vt:lpstr>
      <vt:lpstr>Customers</vt:lpstr>
      <vt:lpstr>Employees</vt:lpstr>
      <vt:lpstr>Sales_Raw</vt:lpstr>
      <vt:lpstr>Sales_Enriched</vt:lpstr>
      <vt:lpstr>Monthly_Targets </vt:lpstr>
      <vt:lpstr>KPI_Summary</vt:lpstr>
      <vt:lpstr>Pivot_Analysis</vt:lpstr>
      <vt:lpstr>Data_Entry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ROHAN KUMAR</cp:lastModifiedBy>
  <cp:lastPrinted>2026-05-28T16:01:32Z</cp:lastPrinted>
  <dcterms:created xsi:type="dcterms:W3CDTF">2026-05-26T07:51:11Z</dcterms:created>
  <dcterms:modified xsi:type="dcterms:W3CDTF">2026-05-28T16:31:51Z</dcterms:modified>
</cp:coreProperties>
</file>